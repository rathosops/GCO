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BA681477-F95E-4218-9B7F-C2AC780A664D}" xr6:coauthVersionLast="47" xr6:coauthVersionMax="47" xr10:uidLastSave="{00000000-0000-0000-0000-000000000000}"/>
  <bookViews>
    <workbookView xWindow="-120" yWindow="-120" windowWidth="20730" windowHeight="11160" activeTab="1" xr2:uid="{73B71C0E-4CAF-439C-8557-C7D638651F8B}"/>
  </bookViews>
  <sheets>
    <sheet name="UNILAB - CUSTOS" sheetId="1" r:id="rId1"/>
    <sheet name="UNILAB - MAIS VENDIDOS" sheetId="6" r:id="rId2"/>
    <sheet name="UNILAB - RELATÓRIO VENDAS" sheetId="8" r:id="rId3"/>
    <sheet name="UNILAB - VENDAS" sheetId="10" r:id="rId4"/>
  </sheets>
  <definedNames>
    <definedName name="_xlnm._FilterDatabase" localSheetId="0" hidden="1">'UNILAB - CUSTOS'!$A$1:$B$360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64" i="8" l="1"/>
  <c r="E46" i="6"/>
  <c r="E45" i="6"/>
  <c r="E44" i="6"/>
  <c r="E43" i="6"/>
  <c r="E42" i="6"/>
  <c r="E41" i="6"/>
  <c r="E40" i="6"/>
  <c r="E39" i="6"/>
  <c r="E38" i="6"/>
  <c r="E37" i="6"/>
  <c r="E36" i="6"/>
  <c r="E35" i="6"/>
  <c r="E34" i="6"/>
  <c r="E33" i="6"/>
  <c r="E32" i="6"/>
  <c r="E31" i="6"/>
  <c r="E30" i="6"/>
  <c r="E29" i="6"/>
  <c r="E28" i="6"/>
  <c r="E27" i="6"/>
  <c r="E26" i="6"/>
  <c r="E25" i="6"/>
  <c r="E24" i="6"/>
  <c r="E23" i="6"/>
  <c r="E22" i="6"/>
  <c r="E20" i="6"/>
  <c r="E19" i="6"/>
  <c r="E18" i="6"/>
  <c r="E17" i="6"/>
  <c r="E16" i="6"/>
  <c r="E15" i="6"/>
  <c r="E14" i="6"/>
  <c r="E13" i="6"/>
  <c r="E12" i="6"/>
  <c r="E11" i="6"/>
  <c r="E10" i="6"/>
  <c r="E9" i="6"/>
  <c r="E8" i="6"/>
  <c r="E7" i="6"/>
  <c r="E6" i="6"/>
  <c r="E5" i="6"/>
  <c r="D171" i="10"/>
  <c r="D173" i="10"/>
  <c r="D69" i="10"/>
  <c r="D169" i="10"/>
  <c r="D156" i="10"/>
  <c r="D157" i="10"/>
  <c r="D158" i="10"/>
  <c r="D159" i="10"/>
  <c r="D160" i="10"/>
  <c r="D155" i="10"/>
  <c r="D140" i="10"/>
  <c r="D141" i="10"/>
  <c r="D145" i="10"/>
  <c r="D147" i="10"/>
  <c r="D148" i="10"/>
  <c r="D149" i="10"/>
  <c r="D150" i="10"/>
  <c r="D151" i="10"/>
  <c r="D153" i="10"/>
  <c r="D135" i="10"/>
  <c r="D136" i="10"/>
  <c r="D134" i="10"/>
  <c r="D132" i="10"/>
  <c r="D130" i="10"/>
  <c r="D116" i="10"/>
  <c r="D117" i="10"/>
  <c r="D118" i="10"/>
  <c r="D119" i="10"/>
  <c r="D122" i="10"/>
  <c r="D123" i="10"/>
  <c r="D124" i="10"/>
  <c r="D125" i="10"/>
  <c r="D126" i="10"/>
  <c r="D127" i="10"/>
  <c r="D128" i="10"/>
  <c r="D104" i="10"/>
  <c r="D106" i="10"/>
  <c r="D103" i="10"/>
  <c r="D99" i="10"/>
  <c r="D100" i="10"/>
  <c r="D98" i="10"/>
  <c r="D72" i="10"/>
  <c r="D74" i="10"/>
  <c r="D75" i="10"/>
  <c r="D77" i="10"/>
  <c r="D78" i="10"/>
  <c r="D81" i="10"/>
  <c r="D82" i="10"/>
  <c r="D83" i="10"/>
  <c r="D84" i="10"/>
  <c r="D85" i="10"/>
  <c r="D86" i="10"/>
  <c r="D68" i="10"/>
  <c r="D64" i="10"/>
  <c r="D65" i="10"/>
  <c r="D63" i="10"/>
  <c r="D56" i="10"/>
  <c r="D57" i="10"/>
  <c r="D58" i="10"/>
  <c r="D61" i="10"/>
  <c r="D49" i="10"/>
  <c r="D50" i="10"/>
  <c r="D43" i="10"/>
  <c r="D44" i="10"/>
  <c r="D45" i="10"/>
  <c r="D42" i="10"/>
  <c r="D27" i="10"/>
  <c r="D28" i="10"/>
  <c r="D31" i="10"/>
  <c r="D32" i="10"/>
  <c r="D33" i="10"/>
  <c r="D34" i="10"/>
  <c r="D35" i="10"/>
  <c r="D36" i="10"/>
  <c r="D37" i="10"/>
  <c r="D40" i="10"/>
  <c r="D22" i="10"/>
  <c r="D6" i="10"/>
  <c r="D7" i="10"/>
  <c r="D8" i="10"/>
  <c r="D9" i="10"/>
  <c r="D10" i="10"/>
  <c r="D13" i="10"/>
  <c r="D14" i="10"/>
  <c r="E87" i="8"/>
  <c r="D87" i="10" s="1"/>
  <c r="E143" i="8"/>
  <c r="D143" i="10" s="1"/>
  <c r="E91" i="8"/>
  <c r="D91" i="10" s="1"/>
  <c r="E93" i="8"/>
  <c r="D93" i="10" s="1"/>
  <c r="E101" i="8"/>
  <c r="D101" i="10" s="1"/>
  <c r="E18" i="8"/>
  <c r="D17" i="10" s="1"/>
  <c r="E89" i="8"/>
  <c r="D89" i="10" s="1"/>
  <c r="E49" i="8"/>
  <c r="D48" i="10" s="1"/>
  <c r="E54" i="8"/>
  <c r="D53" i="10" s="1"/>
  <c r="E55" i="8"/>
  <c r="D54" i="10" s="1"/>
  <c r="E79" i="8"/>
  <c r="D79" i="10" s="1"/>
  <c r="E13" i="8"/>
  <c r="D12" i="10" s="1"/>
  <c r="E120" i="8"/>
  <c r="D120" i="10" s="1"/>
  <c r="E12" i="8"/>
  <c r="D11" i="10" s="1"/>
  <c r="E48" i="8"/>
  <c r="D47" i="10" s="1"/>
  <c r="D164" i="10"/>
  <c r="E152" i="8"/>
  <c r="G152" i="8"/>
  <c r="G12" i="8"/>
  <c r="G48" i="8"/>
  <c r="G103" i="8"/>
  <c r="G13" i="8"/>
  <c r="G120" i="8"/>
  <c r="G79" i="8"/>
  <c r="G49" i="8"/>
  <c r="G54" i="8"/>
  <c r="G55" i="8"/>
  <c r="G89" i="8"/>
  <c r="G101" i="8"/>
  <c r="G91" i="8"/>
  <c r="G93" i="8"/>
  <c r="G143" i="8"/>
  <c r="G87" i="8"/>
  <c r="F12" i="8"/>
  <c r="F48" i="8"/>
  <c r="F103" i="8"/>
  <c r="F13" i="8"/>
  <c r="F120" i="8"/>
  <c r="F79" i="8"/>
  <c r="F49" i="8"/>
  <c r="F54" i="8"/>
  <c r="F55" i="8"/>
  <c r="F89" i="8"/>
  <c r="F101" i="8"/>
  <c r="F91" i="8"/>
  <c r="F93" i="8"/>
  <c r="F143" i="8"/>
  <c r="F87" i="8"/>
  <c r="E53" i="8"/>
  <c r="E27" i="8"/>
  <c r="D26" i="10" s="1"/>
  <c r="E26" i="8"/>
  <c r="D25" i="10" s="1"/>
  <c r="E60" i="8"/>
  <c r="D59" i="10" s="1"/>
  <c r="E61" i="8"/>
  <c r="D60" i="10" s="1"/>
  <c r="E39" i="8"/>
  <c r="E40" i="8"/>
  <c r="D39" i="10" s="1"/>
  <c r="E80" i="8"/>
  <c r="D80" i="10" s="1"/>
  <c r="E115" i="8"/>
  <c r="E19" i="8"/>
  <c r="D18" i="10" s="1"/>
  <c r="E31" i="8"/>
  <c r="D30" i="10" s="1"/>
  <c r="E142" i="8"/>
  <c r="E161" i="8"/>
  <c r="D161" i="10" s="1"/>
  <c r="E162" i="8"/>
  <c r="D162" i="10" s="1"/>
  <c r="E163" i="8"/>
  <c r="D163" i="10" s="1"/>
  <c r="E6" i="8"/>
  <c r="E112" i="8"/>
  <c r="D112" i="10" s="1"/>
  <c r="E107" i="8"/>
  <c r="D107" i="10" s="1"/>
  <c r="E108" i="8"/>
  <c r="D108" i="10" s="1"/>
  <c r="E56" i="8"/>
  <c r="D55" i="10" s="1"/>
  <c r="E121" i="8"/>
  <c r="D121" i="10" s="1"/>
  <c r="E16" i="8"/>
  <c r="D15" i="10" s="1"/>
  <c r="E24" i="8"/>
  <c r="D23" i="10" s="1"/>
  <c r="E25" i="8"/>
  <c r="D24" i="10" s="1"/>
  <c r="E114" i="8"/>
  <c r="D114" i="10" s="1"/>
  <c r="E167" i="8"/>
  <c r="E76" i="8"/>
  <c r="D76" i="10" s="1"/>
  <c r="E67" i="8"/>
  <c r="E94" i="8"/>
  <c r="D94" i="10" s="1"/>
  <c r="E95" i="8"/>
  <c r="D95" i="10" s="1"/>
  <c r="E96" i="8"/>
  <c r="D96" i="10" s="1"/>
  <c r="E168" i="8"/>
  <c r="D168" i="10" s="1"/>
  <c r="D71" i="10"/>
  <c r="E109" i="8"/>
  <c r="D109" i="10" s="1"/>
  <c r="E110" i="8"/>
  <c r="D110" i="10" s="1"/>
  <c r="E144" i="8"/>
  <c r="E30" i="8"/>
  <c r="D29" i="10" s="1"/>
  <c r="E171" i="8"/>
  <c r="E138" i="8"/>
  <c r="D138" i="10" s="1"/>
  <c r="E139" i="8"/>
  <c r="D139" i="10" s="1"/>
  <c r="E73" i="8"/>
  <c r="E131" i="8"/>
  <c r="D131" i="10" s="1"/>
  <c r="E20" i="8"/>
  <c r="E21" i="8"/>
  <c r="D20" i="10" s="1"/>
  <c r="E146" i="8"/>
  <c r="D146" i="10" s="1"/>
  <c r="E105" i="8"/>
  <c r="D105" i="10" s="1"/>
  <c r="E92" i="8"/>
  <c r="D92" i="10" s="1"/>
  <c r="F92" i="8"/>
  <c r="F53" i="8"/>
  <c r="F27" i="8"/>
  <c r="F26" i="8"/>
  <c r="F60" i="8"/>
  <c r="F61" i="8"/>
  <c r="F38" i="8"/>
  <c r="F39" i="8"/>
  <c r="F40" i="8"/>
  <c r="F80" i="8"/>
  <c r="F115" i="8"/>
  <c r="F18" i="8"/>
  <c r="F19" i="8"/>
  <c r="F31" i="8"/>
  <c r="F142" i="8"/>
  <c r="F161" i="8"/>
  <c r="F162" i="8"/>
  <c r="F163" i="8"/>
  <c r="F164" i="8"/>
  <c r="F6" i="8"/>
  <c r="F112" i="8"/>
  <c r="F107" i="8"/>
  <c r="F108" i="8"/>
  <c r="F56" i="8"/>
  <c r="F121" i="8"/>
  <c r="F16" i="8"/>
  <c r="F24" i="8"/>
  <c r="F25" i="8"/>
  <c r="F114" i="8"/>
  <c r="F167" i="8"/>
  <c r="F76" i="8"/>
  <c r="F67" i="8"/>
  <c r="F94" i="8"/>
  <c r="F95" i="8"/>
  <c r="F96" i="8"/>
  <c r="F168" i="8"/>
  <c r="F70" i="8"/>
  <c r="F71" i="8"/>
  <c r="F109" i="8"/>
  <c r="F110" i="8"/>
  <c r="F144" i="8"/>
  <c r="F28" i="8"/>
  <c r="F30" i="8"/>
  <c r="F171" i="8"/>
  <c r="F138" i="8"/>
  <c r="F139" i="8"/>
  <c r="F140" i="8"/>
  <c r="F141" i="8"/>
  <c r="F73" i="8"/>
  <c r="F131" i="8"/>
  <c r="F20" i="8"/>
  <c r="F21" i="8"/>
  <c r="F146" i="8"/>
  <c r="F105" i="8"/>
  <c r="F36" i="8"/>
  <c r="F44" i="8"/>
  <c r="F45" i="8"/>
  <c r="F169" i="8"/>
  <c r="F34" i="8"/>
  <c r="F35" i="8"/>
  <c r="F104" i="8"/>
  <c r="F41" i="8"/>
  <c r="F15" i="8"/>
  <c r="F77" i="8"/>
  <c r="F51" i="8"/>
  <c r="F65" i="8"/>
  <c r="F57" i="8"/>
  <c r="F43" i="8"/>
  <c r="F153" i="8"/>
  <c r="F29" i="8"/>
  <c r="F147" i="8"/>
  <c r="F148" i="8"/>
  <c r="F23" i="8"/>
  <c r="F149" i="8"/>
  <c r="F150" i="8"/>
  <c r="F14" i="8"/>
  <c r="F7" i="8"/>
  <c r="F8" i="8"/>
  <c r="F9" i="8"/>
  <c r="F10" i="8"/>
  <c r="F122" i="8"/>
  <c r="F123" i="8"/>
  <c r="F124" i="8"/>
  <c r="F125" i="8"/>
  <c r="F126" i="8"/>
  <c r="F127" i="8"/>
  <c r="F128" i="8"/>
  <c r="F135" i="8"/>
  <c r="F11" i="8"/>
  <c r="F46" i="8"/>
  <c r="F116" i="8"/>
  <c r="F136" i="8"/>
  <c r="F130" i="8"/>
  <c r="F155" i="8"/>
  <c r="F156" i="8"/>
  <c r="F157" i="8"/>
  <c r="F74" i="8"/>
  <c r="F37" i="8"/>
  <c r="F66" i="8"/>
  <c r="F106" i="8"/>
  <c r="F75" i="8"/>
  <c r="F98" i="8"/>
  <c r="F99" i="8"/>
  <c r="F145" i="8"/>
  <c r="F81" i="8"/>
  <c r="F82" i="8"/>
  <c r="F62" i="8"/>
  <c r="F72" i="8"/>
  <c r="F132" i="8"/>
  <c r="F118" i="8"/>
  <c r="F78" i="8"/>
  <c r="F85" i="8"/>
  <c r="F86" i="8"/>
  <c r="F83" i="8"/>
  <c r="F84" i="8"/>
  <c r="F100" i="8"/>
  <c r="F64" i="8"/>
  <c r="F119" i="8"/>
  <c r="F59" i="8"/>
  <c r="F117" i="8"/>
  <c r="F151" i="8"/>
  <c r="F158" i="8"/>
  <c r="F159" i="8"/>
  <c r="F160" i="8"/>
  <c r="F69" i="8"/>
  <c r="F173" i="8"/>
  <c r="F134" i="8"/>
  <c r="F33" i="8"/>
  <c r="F50" i="8"/>
  <c r="F5" i="8"/>
  <c r="F58" i="8"/>
  <c r="F32" i="8"/>
  <c r="E90" i="8"/>
  <c r="G90" i="8"/>
  <c r="G92" i="8"/>
  <c r="G53" i="8"/>
  <c r="G27" i="8"/>
  <c r="G26" i="8"/>
  <c r="G60" i="8"/>
  <c r="G61" i="8"/>
  <c r="G38" i="8"/>
  <c r="G39" i="8"/>
  <c r="G40" i="8"/>
  <c r="G80" i="8"/>
  <c r="G115" i="8"/>
  <c r="G18" i="8"/>
  <c r="G19" i="8"/>
  <c r="G31" i="8"/>
  <c r="G142" i="8"/>
  <c r="G161" i="8"/>
  <c r="G162" i="8"/>
  <c r="G163" i="8"/>
  <c r="G164" i="8"/>
  <c r="G6" i="8"/>
  <c r="G112" i="8"/>
  <c r="G107" i="8"/>
  <c r="G108" i="8"/>
  <c r="G56" i="8"/>
  <c r="G121" i="8"/>
  <c r="G16" i="8"/>
  <c r="G24" i="8"/>
  <c r="G25" i="8"/>
  <c r="G114" i="8"/>
  <c r="G167" i="8"/>
  <c r="G76" i="8"/>
  <c r="G67" i="8"/>
  <c r="G94" i="8"/>
  <c r="G95" i="8"/>
  <c r="G96" i="8"/>
  <c r="G168" i="8"/>
  <c r="G70" i="8"/>
  <c r="G71" i="8"/>
  <c r="G109" i="8"/>
  <c r="G110" i="8"/>
  <c r="G144" i="8"/>
  <c r="G28" i="8"/>
  <c r="G30" i="8"/>
  <c r="G171" i="8"/>
  <c r="G138" i="8"/>
  <c r="G139" i="8"/>
  <c r="G140" i="8"/>
  <c r="G141" i="8"/>
  <c r="G73" i="8"/>
  <c r="G131" i="8"/>
  <c r="G20" i="8"/>
  <c r="G21" i="8"/>
  <c r="G146" i="8"/>
  <c r="G105" i="8"/>
  <c r="G36" i="8"/>
  <c r="G44" i="8"/>
  <c r="G45" i="8"/>
  <c r="G169" i="8"/>
  <c r="G34" i="8"/>
  <c r="G35" i="8"/>
  <c r="G104" i="8"/>
  <c r="G41" i="8"/>
  <c r="G15" i="8"/>
  <c r="G77" i="8"/>
  <c r="G51" i="8"/>
  <c r="G65" i="8"/>
  <c r="G57" i="8"/>
  <c r="G43" i="8"/>
  <c r="G153" i="8"/>
  <c r="G29" i="8"/>
  <c r="G147" i="8"/>
  <c r="G148" i="8"/>
  <c r="G23" i="8"/>
  <c r="G149" i="8"/>
  <c r="G150" i="8"/>
  <c r="G14" i="8"/>
  <c r="G7" i="8"/>
  <c r="G8" i="8"/>
  <c r="G9" i="8"/>
  <c r="G10" i="8"/>
  <c r="G122" i="8"/>
  <c r="G123" i="8"/>
  <c r="G124" i="8"/>
  <c r="G125" i="8"/>
  <c r="G126" i="8"/>
  <c r="G127" i="8"/>
  <c r="G128" i="8"/>
  <c r="G135" i="8"/>
  <c r="G11" i="8"/>
  <c r="G46" i="8"/>
  <c r="G116" i="8"/>
  <c r="G136" i="8"/>
  <c r="G130" i="8"/>
  <c r="G155" i="8"/>
  <c r="G156" i="8"/>
  <c r="G157" i="8"/>
  <c r="G74" i="8"/>
  <c r="G37" i="8"/>
  <c r="G66" i="8"/>
  <c r="G106" i="8"/>
  <c r="G75" i="8"/>
  <c r="G98" i="8"/>
  <c r="G99" i="8"/>
  <c r="G145" i="8"/>
  <c r="G81" i="8"/>
  <c r="G82" i="8"/>
  <c r="G62" i="8"/>
  <c r="G72" i="8"/>
  <c r="G132" i="8"/>
  <c r="G118" i="8"/>
  <c r="G78" i="8"/>
  <c r="G85" i="8"/>
  <c r="G86" i="8"/>
  <c r="G83" i="8"/>
  <c r="G84" i="8"/>
  <c r="G100" i="8"/>
  <c r="G64" i="8"/>
  <c r="G119" i="8"/>
  <c r="G59" i="8"/>
  <c r="G117" i="8"/>
  <c r="G151" i="8"/>
  <c r="G158" i="8"/>
  <c r="G159" i="8"/>
  <c r="G160" i="8"/>
  <c r="G69" i="8"/>
  <c r="G173" i="8"/>
  <c r="G134" i="8"/>
  <c r="G33" i="8"/>
  <c r="G50" i="8"/>
  <c r="G5" i="8"/>
  <c r="G58" i="8"/>
  <c r="G32" i="8"/>
  <c r="E166" i="8"/>
  <c r="D166" i="10" s="1"/>
  <c r="F90" i="8" l="1"/>
  <c r="D90" i="10"/>
  <c r="D19" i="10"/>
  <c r="D73" i="10"/>
  <c r="D144" i="10"/>
  <c r="D70" i="10"/>
  <c r="D66" i="10"/>
  <c r="D167" i="10"/>
  <c r="D5" i="10"/>
  <c r="D142" i="10"/>
  <c r="D115" i="10"/>
  <c r="D38" i="10"/>
  <c r="D52" i="10"/>
  <c r="F152" i="8"/>
  <c r="D152" i="10"/>
  <c r="F166" i="8"/>
  <c r="G166" i="8"/>
</calcChain>
</file>

<file path=xl/sharedStrings.xml><?xml version="1.0" encoding="utf-8"?>
<sst xmlns="http://schemas.openxmlformats.org/spreadsheetml/2006/main" count="1028" uniqueCount="542">
  <si>
    <t>Descrição</t>
  </si>
  <si>
    <t xml:space="preserve">valor </t>
  </si>
  <si>
    <t>2,5 HEXANODIONA, URINA ISOLADA</t>
  </si>
  <si>
    <t>25-HIDROXI VITAMINA D</t>
  </si>
  <si>
    <t>ACETONA</t>
  </si>
  <si>
    <t>ACETONA - INICIO DE JORNADA DE TRABALHO</t>
  </si>
  <si>
    <t>ACETONA, URINA ISOLADA</t>
  </si>
  <si>
    <t>ACIDO 2 TIO TIAZOLIDINA</t>
  </si>
  <si>
    <t xml:space="preserve">ÁCIDO BUTOXIACÉTICO </t>
  </si>
  <si>
    <t>ACIDO DELTA AMINO LEVULINICO, URINA ISOLADA</t>
  </si>
  <si>
    <t>ACIDO FENILGLIOXILICO</t>
  </si>
  <si>
    <t>ACIDO FOLICO</t>
  </si>
  <si>
    <t>ACIDO FOLICO - POS FILTRO</t>
  </si>
  <si>
    <t>ACIDO FOLICO - POS HEMODIALISE</t>
  </si>
  <si>
    <t>ÁCIDO FÓRMICO, URINA</t>
  </si>
  <si>
    <t>ACIDO HIPURICO, URINA - INICIO DE JORNADA</t>
  </si>
  <si>
    <t>ACIDO HIPURICO, URINA ISOLADA</t>
  </si>
  <si>
    <t>ÁCIDO MANDÉLICO, URINA - INÍCIO DE JORNADA</t>
  </si>
  <si>
    <t>ÁCIDO MANDELICO, URINA FINAL DE JORNADA</t>
  </si>
  <si>
    <t>ÁCIDO METIL HIPÚRICO FINAL DE JORNADA</t>
  </si>
  <si>
    <t>ÁCIDO METIL HIPÚRICO, INÍCIO DE JORNADA</t>
  </si>
  <si>
    <t xml:space="preserve">ÁCIDO S-FENILMERCAPTÚRICO </t>
  </si>
  <si>
    <t>ACIDO TRANS, TRANS-MUCONICO, URINA ISOLADA</t>
  </si>
  <si>
    <t>ACIDO TRANS,TRANS MUCONICO FINAL DE JORNADA</t>
  </si>
  <si>
    <t>ACIDO TRANS,TRANS MUCONICO INICIO DE JORNADA</t>
  </si>
  <si>
    <t>ÁCIDO TRICLOROACÉTICO FINAL DE JORNADA</t>
  </si>
  <si>
    <t>ÁCIDO TRICLOROACÉTICO INÍCIO DE JORNADA</t>
  </si>
  <si>
    <t>ACIDO URICO</t>
  </si>
  <si>
    <t>ALBUMINA SERICA</t>
  </si>
  <si>
    <t>AMILASE SERICA</t>
  </si>
  <si>
    <t>AMONIA</t>
  </si>
  <si>
    <t>ANTIBIOGRAMA UROCULTURA 2 JATO AUTOM</t>
  </si>
  <si>
    <t>ANTIGENO CARCINOEMBRIOGENIO</t>
  </si>
  <si>
    <t>ANTIGENO PROSTATICO ESPECIFICO</t>
  </si>
  <si>
    <t>ANTIGENO PROSTATICO ESPECIFICO TOTAL E LIVRE</t>
  </si>
  <si>
    <t>ARSÊNICO, URINA ISOLADA</t>
  </si>
  <si>
    <t>ARSÊNICO, URINA ISOLADA PÓS MEDICAÇÃO</t>
  </si>
  <si>
    <t>BAAR, PESQUISA</t>
  </si>
  <si>
    <t>BAAR, PESQUISA 2o AMOSTRA</t>
  </si>
  <si>
    <t>BAAR, PESQUISA 3A AMOSTRA</t>
  </si>
  <si>
    <t>BAAR, PESQUISA NA URINA</t>
  </si>
  <si>
    <t>BAAR, PESQUISA NA URINA 2° AMOSTRA</t>
  </si>
  <si>
    <t>BAAR, PESQUISA NA URINA 3° AMOSTRA</t>
  </si>
  <si>
    <t>BAAR, PESQUISA NO ESCARRO</t>
  </si>
  <si>
    <t>BAAR, PESQUISA NO ESCARRO 2o AMOSTRA</t>
  </si>
  <si>
    <t>BAAR, PESQUISA NO ESCARRO 3o AMOSTRA</t>
  </si>
  <si>
    <t>BILIRRUBINAS TOTAL E FRAÇÕES</t>
  </si>
  <si>
    <t>BILIRRUBINAS TOTAL E FRAÇÕES - RECÉM NASCIDOS</t>
  </si>
  <si>
    <t>BRUCELOSE IgG, ANTICORPOS</t>
  </si>
  <si>
    <t>BRUCELOSE IGM, ANTICORPOS</t>
  </si>
  <si>
    <t>BRUCELOSE, AGLUTINACAO - QUALITATIVO</t>
  </si>
  <si>
    <t>BRUCELOSE, AGLUTINACAO - QUANTITATIVO</t>
  </si>
  <si>
    <t>CA 125</t>
  </si>
  <si>
    <t>CA 15-3</t>
  </si>
  <si>
    <t>CA 19-9</t>
  </si>
  <si>
    <t>CA 72-4</t>
  </si>
  <si>
    <t>CÁDMIO</t>
  </si>
  <si>
    <t>CADMIO - URINA 24 HORAS</t>
  </si>
  <si>
    <t>CADMIO URINÁRIO</t>
  </si>
  <si>
    <t>CÁDMIO URINÁRIO FINAL DE JORNADA</t>
  </si>
  <si>
    <t>CADMIO URINARIO FINAL DE JORNADA DE TRABALHO</t>
  </si>
  <si>
    <t xml:space="preserve">CÁDMIO, SANGUE </t>
  </si>
  <si>
    <t>CÁDMIO, URINA INÍCIO DE JORNADA</t>
  </si>
  <si>
    <t>CÁDMIO, URINA PÓS MEDICAÇÃO</t>
  </si>
  <si>
    <t>CALCIO IONICO</t>
  </si>
  <si>
    <t>CALCIO SERICO</t>
  </si>
  <si>
    <t>CAPACIDADE TOTAL DE COMBINAÇÃO DO FERRO</t>
  </si>
  <si>
    <t>CARBOXIHEMOGLOBINA</t>
  </si>
  <si>
    <t>CHAGAS - ANTICORPOS IGG - ELISA</t>
  </si>
  <si>
    <t>CHAGAS, ANTICORPOS IGG - CMIA</t>
  </si>
  <si>
    <t>CHAGAS, ANTICORPOS IgM</t>
  </si>
  <si>
    <t>CHAGAS, HEMAGLUTINAÇÃO</t>
  </si>
  <si>
    <t>CHAGAS, IMUNOFLUORESCÊNCIA INDIRETA</t>
  </si>
  <si>
    <t>CHUMBO</t>
  </si>
  <si>
    <t>CHUMBO, URINA ISOLADA</t>
  </si>
  <si>
    <t>CHUMBO, URINA ISOLADA PÓS MEDICAÇÃO</t>
  </si>
  <si>
    <t>CICLOHEXANO</t>
  </si>
  <si>
    <t>CLEARANCE DE CREATININA</t>
  </si>
  <si>
    <t>CLORO</t>
  </si>
  <si>
    <t>COAGULOGRAMA</t>
  </si>
  <si>
    <t>COBALTO</t>
  </si>
  <si>
    <t>COBALTO URINA ISOLADA</t>
  </si>
  <si>
    <t>COBRE SERICO</t>
  </si>
  <si>
    <t>COBRE, URINA ISOLADA</t>
  </si>
  <si>
    <t>COLESTEROL LDL</t>
  </si>
  <si>
    <t>COLESTEROL TOTAL</t>
  </si>
  <si>
    <t>COLESTEROL TOTAL - DIVERSOS</t>
  </si>
  <si>
    <t>COLESTEROL TOTAL E FRAÇÕES</t>
  </si>
  <si>
    <t xml:space="preserve">COLESTEROL TOTAL E FRAÇÕES </t>
  </si>
  <si>
    <t>COLESTEROL VLDL</t>
  </si>
  <si>
    <t>COLINESTERASE ERITROCITARIA</t>
  </si>
  <si>
    <t>COLINESTERASE PLASMATICA</t>
  </si>
  <si>
    <t>COPROCULTURA</t>
  </si>
  <si>
    <t>a</t>
  </si>
  <si>
    <t>COPROCULTURA (EMPRESAS)</t>
  </si>
  <si>
    <t>COPROCULTURA, EMPRESAS</t>
  </si>
  <si>
    <t>CORONAVÍRUS 2019 (SARS-CoV-2), ANTÍGENOS</t>
  </si>
  <si>
    <t>CORONAVÍRUS 2019 (SARS-CoV-2), ANTÍGENOS - BOSCH</t>
  </si>
  <si>
    <t>CORTISOL</t>
  </si>
  <si>
    <t>CORTISOL - DILUIÇÃO</t>
  </si>
  <si>
    <t>CREATINA SERICA</t>
  </si>
  <si>
    <t>CREATININA SERICA</t>
  </si>
  <si>
    <t>CREATININA SERICA - NEFRO</t>
  </si>
  <si>
    <t>CREATININA, URINA 12 HORAS</t>
  </si>
  <si>
    <t>CREATININA, URINA 24 HORAS</t>
  </si>
  <si>
    <t>CREATININA, URINA ISOLADA</t>
  </si>
  <si>
    <t>CREATINO FOSFOQUINASE</t>
  </si>
  <si>
    <t>CREATINO FOSFOQUINASE - DILUIÇÃO</t>
  </si>
  <si>
    <t>CREATINO FOSFOQUINASE POS ESFORÇO FISICO</t>
  </si>
  <si>
    <t>CREATINOFOSFOQUINASE FRAÇÃO MB - MASSA</t>
  </si>
  <si>
    <t>CROMO SERICO</t>
  </si>
  <si>
    <t>CROMO, URINA ISOLADA</t>
  </si>
  <si>
    <t>CULTURA</t>
  </si>
  <si>
    <t>CULTURA PARA FUNGOS</t>
  </si>
  <si>
    <t>CULTURA PARA GERMES COMUNS, ESCARRO</t>
  </si>
  <si>
    <t>CULTURA PARA GERMES COMUNS, ESCARRO 2° AMOSTRA</t>
  </si>
  <si>
    <t>CULTURA PARA GERMES COMUNS, ESCARRO 3° AMOSTRA</t>
  </si>
  <si>
    <t>CULTURA PARA MICOBACTERIAS</t>
  </si>
  <si>
    <t>CULTURA PARA MICOBACTERIAS, 2A AMOSTRA</t>
  </si>
  <si>
    <t>CULTURA PARA MICOBACTERIAS, 3A AMOSTRA</t>
  </si>
  <si>
    <t>CULTURA PARA MICOBACTERIAS, 4A AMOSTRA</t>
  </si>
  <si>
    <t>CULTURA PARA MICOBACTERIAS, ESCARRO</t>
  </si>
  <si>
    <t>CULTURA PARA MICOBACTERIAS, URINA</t>
  </si>
  <si>
    <t>CULTURA PARA MICOBACTERIAS, URINA 2° AMOSTRA</t>
  </si>
  <si>
    <t>CULTURA TESTE DMS</t>
  </si>
  <si>
    <t>CULTURA URINA POSITIVA - IDENTIFICAÇÃO E SENSIBILIDADE</t>
  </si>
  <si>
    <t>CULTURA, SECREÇÃO URETRAL</t>
  </si>
  <si>
    <t>DEHIDROEPIANDROSTERONA</t>
  </si>
  <si>
    <t>DENGUE, ANTICORPOS IgG - TESTE RÁPIDO</t>
  </si>
  <si>
    <t>DENGUE, ANTICORPOS IgM - TESTE RÁPIDO</t>
  </si>
  <si>
    <t xml:space="preserve">DESIDROGENASE LATICA </t>
  </si>
  <si>
    <t>DESIDROGENASE LATICA LÍQUOR (UNILAB)</t>
  </si>
  <si>
    <t>DESIDROGENASE LATICA URINA (UNILAB)</t>
  </si>
  <si>
    <t xml:space="preserve">DIAMINA OXIDASE (DAO) </t>
  </si>
  <si>
    <t>DIAMINOXIDASE (DAO) ATIVIDADE</t>
  </si>
  <si>
    <t>DICLOROMETANO</t>
  </si>
  <si>
    <t>DIHIDROTESTOSTERONA</t>
  </si>
  <si>
    <t>DIMERO D</t>
  </si>
  <si>
    <t>ELETROFORESE DE HEMOGLOBINA (UNILAB)</t>
  </si>
  <si>
    <t>ELETROFORESE DE PROTEINAS</t>
  </si>
  <si>
    <t>ERITROGRAMA</t>
  </si>
  <si>
    <t>ESPERMOCULTURA</t>
  </si>
  <si>
    <t xml:space="preserve">ESTIRENO </t>
  </si>
  <si>
    <t>ESTRADIOL</t>
  </si>
  <si>
    <t>ESTRIOL LIVRE</t>
  </si>
  <si>
    <t>ESTRONA</t>
  </si>
  <si>
    <t>ETANOL</t>
  </si>
  <si>
    <t>ETANOL, URINA</t>
  </si>
  <si>
    <t>EXAME A FRESCO, FEZES</t>
  </si>
  <si>
    <t>FATOR ANTI NUCLEO</t>
  </si>
  <si>
    <t>FATOR REUMATOIDE (40306860)</t>
  </si>
  <si>
    <t>FATOR REUMATOIDE (40308030)</t>
  </si>
  <si>
    <t>FENOL, URINA - FINAL DE JORNADA</t>
  </si>
  <si>
    <t>FENOL, URINA - INÍCIO DE JORNADA</t>
  </si>
  <si>
    <t>FERRITINA</t>
  </si>
  <si>
    <t>FERRO SERICO</t>
  </si>
  <si>
    <t>FLUOR FINAL DA JORNADA DE TRABALHO</t>
  </si>
  <si>
    <t>FLUOR URINÁRIO INÍCIO DA JORNADA DE TRABALHO</t>
  </si>
  <si>
    <t>FOLATO, ERITROCITÁRIO</t>
  </si>
  <si>
    <t>FORMALDEIDO</t>
  </si>
  <si>
    <t>FOSFATASE ALCALINA</t>
  </si>
  <si>
    <t>FOSFOLIPÍDIOS</t>
  </si>
  <si>
    <t>FOSFORO SÉRICO</t>
  </si>
  <si>
    <t>FSH - HORMONIO FOLICULO ESTIMULANTE</t>
  </si>
  <si>
    <t>FTA ABS IGG</t>
  </si>
  <si>
    <t>FTA-ABS IgM</t>
  </si>
  <si>
    <t>FUNCIONAL DE FEZES</t>
  </si>
  <si>
    <t>GAMA GLUTAMIL TRANSFERASE</t>
  </si>
  <si>
    <t>GASOMETRIA VENOSA</t>
  </si>
  <si>
    <t>GASOMETRIA VENOSA - COMPLETA</t>
  </si>
  <si>
    <t>GLICOSE, JEJUM</t>
  </si>
  <si>
    <t>GLICOSE, JEJUM PLASMA</t>
  </si>
  <si>
    <t>GLOBULINA LIGADORA DE HORMONIOS SEXUAIS</t>
  </si>
  <si>
    <t>HCG, FRACAO BETA DA GONADOTROFINA CORIONICA QUANTITATIVO - NUMÉRICO</t>
  </si>
  <si>
    <t>HCG, FRACAO BETA DA GONADOTROFINA CORIONICA QUANTITATIVO (40305759)</t>
  </si>
  <si>
    <t>HCG, FRACAO BETA DA GONADOTROFINA CORIONICA QUANTITATIVO (40305767)</t>
  </si>
  <si>
    <t>HCG, FRACAO BETA DA GONADOTROFINA CORIONICA QUANTITATIVO (40316327)</t>
  </si>
  <si>
    <t>HDL</t>
  </si>
  <si>
    <t>HEMOCULTURA PARA AERÓBIOS</t>
  </si>
  <si>
    <t>HEMOGLOBINA</t>
  </si>
  <si>
    <t>HEMOGLOBINA GLICADA - TURBIDIMETRIA</t>
  </si>
  <si>
    <t>HEMOGLOBINA GLICADA (40302075)</t>
  </si>
  <si>
    <t>HEMOGLOBINA GLICADA (40302733)</t>
  </si>
  <si>
    <t>HEMOGLOBINA S, TESTE DE SOLUBILIDADE</t>
  </si>
  <si>
    <t>HEMOGRAMA - DENGUE</t>
  </si>
  <si>
    <t>HEMOGRAMA COMPLETO</t>
  </si>
  <si>
    <t>HEMOPARASITAS - PESQUISA</t>
  </si>
  <si>
    <t>HEMOSSEDIMENTACAO</t>
  </si>
  <si>
    <t>HEPATITE A, ANTICORPOS IgG</t>
  </si>
  <si>
    <t>HEPATITE A, ANTICORPOS IgM</t>
  </si>
  <si>
    <t>HEPATITE B, ANTI HBC IGM</t>
  </si>
  <si>
    <t>HEPATITE B, ANTI HBC TOTAL</t>
  </si>
  <si>
    <t>HEPATITE B, ANTI HBS</t>
  </si>
  <si>
    <t>HEPATITE B, ANTICORPOS ANTIGENO E</t>
  </si>
  <si>
    <t>HEPATITE B, ANTIGENO E</t>
  </si>
  <si>
    <t>HEPATITE B, HBsAg (40307018)</t>
  </si>
  <si>
    <t>HEPATITE B, HBsAg (40316114)</t>
  </si>
  <si>
    <t>HEPATITE C, ANTICORPOS (ANTI HCV) (40307026)</t>
  </si>
  <si>
    <t>HEPATITE C, ANTICORPOS (ANTI HCV) (40307034)</t>
  </si>
  <si>
    <t xml:space="preserve">HEPATITE E ANTICORPOS IgM </t>
  </si>
  <si>
    <t>HEPATITE E, ANTICORPOS IgG</t>
  </si>
  <si>
    <t>HERPES SIMPLES I-II IgG</t>
  </si>
  <si>
    <t>HERPES SIMPLES I-II IgM</t>
  </si>
  <si>
    <t>HIDROXIPIRENO</t>
  </si>
  <si>
    <t>HISTAMINA</t>
  </si>
  <si>
    <t>HIV, ANTICORPOS (40307174)</t>
  </si>
  <si>
    <t>HIV, ANTICORPOS (40307182)</t>
  </si>
  <si>
    <t>HOMOCISTEINA</t>
  </si>
  <si>
    <t>HORMÔNIO LUTEINIZANTE (LH) APÓS LEUPRORRELINA</t>
  </si>
  <si>
    <t>IGE ESPECÍFICA PARA DEXAMETASONA (C350)</t>
  </si>
  <si>
    <t>IGE PARA FORMIGA LAVA-PE (I70)</t>
  </si>
  <si>
    <t>IGE PARA MARIMBONDO (I4)</t>
  </si>
  <si>
    <t>IGE PARA VENENO DE ABELHA (I1)</t>
  </si>
  <si>
    <t>IGE PARA VENENO DE VESPA (I3)</t>
  </si>
  <si>
    <t>IMUNOGLOBULINA A (IgA)</t>
  </si>
  <si>
    <t>IMUNOGLOBULINA E (IgE)</t>
  </si>
  <si>
    <t>IMUNOGLOBULINA G (IgG)</t>
  </si>
  <si>
    <t>IMUNOGLOBULINA M (IgM)</t>
  </si>
  <si>
    <t>INSULINA</t>
  </si>
  <si>
    <t xml:space="preserve">INSULINA </t>
  </si>
  <si>
    <t>INTERFERON GAMMA - QUANTIFERON TB - GOLD PLUS (UNILAB)</t>
  </si>
  <si>
    <t>LACTOSE, TESTE DE ABSORÇÃO</t>
  </si>
  <si>
    <t>LACTOSE, TESTE DE ABSORÇÃO 0,30, 60 MIN</t>
  </si>
  <si>
    <t>LH - HORMONIO LUTEINIZANTE</t>
  </si>
  <si>
    <t>LIPASE</t>
  </si>
  <si>
    <t>LIPÍDEOS TOTAIS</t>
  </si>
  <si>
    <t>MAGNESIO SÉRICO</t>
  </si>
  <si>
    <t>MANGANES</t>
  </si>
  <si>
    <t>MANGANES, URINA ISOLADA</t>
  </si>
  <si>
    <t>MERCURIO</t>
  </si>
  <si>
    <t>MERCURIO, URINA FINAL DE JORNADA</t>
  </si>
  <si>
    <t>MERCURIO, URINA ISOLADA</t>
  </si>
  <si>
    <t>MERCURIO, URINA ISOLADA PÓS MEDICAÇÃO</t>
  </si>
  <si>
    <t>META HEMOGLOBINA</t>
  </si>
  <si>
    <t>METANOL, URINA FINAL DE JORNADA</t>
  </si>
  <si>
    <t>METANOL, URINA INICIO DE JORNADA</t>
  </si>
  <si>
    <t>METILETILCETONA, URINA ISOLADA</t>
  </si>
  <si>
    <t>MICOLOGICO DIRETO</t>
  </si>
  <si>
    <t>MICROALBUMINURIA, URINA 24 HORAS</t>
  </si>
  <si>
    <t>MICROALBUMINURIA, URINA ISOLADA</t>
  </si>
  <si>
    <t>MICROALBUMINURIA, URINA ISOLADA 2º AMOSTRA</t>
  </si>
  <si>
    <t>MICROALBUMINURIA, URINA ISOLADA 3º AMOSTRA</t>
  </si>
  <si>
    <t>MICROSSOMAL-TIREOPEROXIDASE (TPO-AB), ANTICORPOS (40306348)</t>
  </si>
  <si>
    <t>MICROSSOMAL-TIREOPEROXIDASE (TPO-AB), ANTICORPOS (40316157)</t>
  </si>
  <si>
    <t>MYCOBACTERIUM TUBERCULOSIS, DETECCAO POR PCR</t>
  </si>
  <si>
    <t>MYCOBACTERIUM TUBERCULOSIS, DETECCAO POR PCR 2° AMOSTRA</t>
  </si>
  <si>
    <t>NIQUEL</t>
  </si>
  <si>
    <t>NIQUEL - URINA 24H</t>
  </si>
  <si>
    <t>NIQUEL, URINA ISOLADA</t>
  </si>
  <si>
    <t>NIQUEL, URINA ISOLADA PÓS MEDICAÇÃO</t>
  </si>
  <si>
    <t>N-METILFORMAMIDA</t>
  </si>
  <si>
    <t>NS1 TESTE RAPIDO</t>
  </si>
  <si>
    <t>ORTO-CRESOL</t>
  </si>
  <si>
    <t>PARA AMINOFENOL</t>
  </si>
  <si>
    <t>PARATORMÔNIO MOLÉCULA INTACTA (40305465)</t>
  </si>
  <si>
    <t>PEPTIDEO C</t>
  </si>
  <si>
    <t>PEPTIDEO C, 120M</t>
  </si>
  <si>
    <t>PEPTIDEO C, 180M</t>
  </si>
  <si>
    <t>PEPTIDEO C, 60m</t>
  </si>
  <si>
    <t>PEPTIDEO NATRIURETICO TIPO B</t>
  </si>
  <si>
    <t>PLAQUETAS, CONTAGEM</t>
  </si>
  <si>
    <t>POTASSIO SERICO</t>
  </si>
  <si>
    <t>POTASSIO SERICO - NEFRO</t>
  </si>
  <si>
    <t>PROGESTERONA</t>
  </si>
  <si>
    <t>PROGESTERONA 60 MINUTOS - TESTE DE ESTÍMULO</t>
  </si>
  <si>
    <t>PROGESTERONA DILUÍDA</t>
  </si>
  <si>
    <t>PROLACTINA</t>
  </si>
  <si>
    <t>PROTEINA C REATIVA (40308383)</t>
  </si>
  <si>
    <t>PROTEINA C REATIVA (40308391)</t>
  </si>
  <si>
    <t>PROTEINA C REATIVA ULTRA SENSIVEL</t>
  </si>
  <si>
    <t>PROTEINAS TOTAIS E FRAÇÕES</t>
  </si>
  <si>
    <t>PROTOPARASITOLOGICO (40303110)</t>
  </si>
  <si>
    <t>PROTOPARASITOLOGICO 1a. AMOSTRA (40303110)</t>
  </si>
  <si>
    <t>PROTOPARASITOLOGICO 1a. AMOSTRA (40303128)</t>
  </si>
  <si>
    <t>PROTOPARASITOLOGICO 2a. AMOSTRA (40303110)</t>
  </si>
  <si>
    <t>PROTOPARASITOLOGICO 2a. AMOSTRA (40303128)</t>
  </si>
  <si>
    <t>PROTOPARASITOLOGICO 3a. AMOSTRA (40303110)</t>
  </si>
  <si>
    <t>PROTOPARASITOLOGICO 3a. AMOSTRA (40303128)</t>
  </si>
  <si>
    <t>RETICULOCITOS</t>
  </si>
  <si>
    <t>RUBEOLA, ANTICORPOS IgG</t>
  </si>
  <si>
    <t>RUBEOLA, ANTICORPOS IgM</t>
  </si>
  <si>
    <t>SANGUE OCULTO, PESQUISA IMUNOLOGICA</t>
  </si>
  <si>
    <t>SARS-COV-2 ANTIGENO</t>
  </si>
  <si>
    <t>SELENIO</t>
  </si>
  <si>
    <t>SÍFILIS NÃO TREPONÊMICO</t>
  </si>
  <si>
    <t>SIFILIS, SOROLOGIA</t>
  </si>
  <si>
    <t>SM, ANTICORPOS ANTI</t>
  </si>
  <si>
    <t>SODIO SERICO</t>
  </si>
  <si>
    <t>SOMA DOS ÁCIDOS FENILGLIOXÍLICO E MANDÉLICO EM URINA</t>
  </si>
  <si>
    <t>SULFATO DE DEHIDROEPIANDROSTERONA</t>
  </si>
  <si>
    <t>T3 LIVRE</t>
  </si>
  <si>
    <t>T3 TOTAL</t>
  </si>
  <si>
    <t>T4 LIVRE</t>
  </si>
  <si>
    <t>T4 TOTAL</t>
  </si>
  <si>
    <t>TEMPO DE PROTROMBINA</t>
  </si>
  <si>
    <t>TEMPO DE TROMBOPLASTINA PARCIAL ATIVADO</t>
  </si>
  <si>
    <t>TESTE DE SEXAGEM FETAL</t>
  </si>
  <si>
    <t>TESTE RAPIDO PARA INFLUENZA A/B E COVID ANTIGENO</t>
  </si>
  <si>
    <t>TESTOSTERONA LIVRE</t>
  </si>
  <si>
    <t>TESTOSTERONA LIVRE (CERBA)</t>
  </si>
  <si>
    <t>TESTOSTERONA TOTAL</t>
  </si>
  <si>
    <t>TESTOSTERONA TOTAL CERBA</t>
  </si>
  <si>
    <t>TESTOSTERONA TOTAL SEGUNDA AMOSTRA</t>
  </si>
  <si>
    <t>TETRAHIDROFURANO</t>
  </si>
  <si>
    <t>TIOCIANATO INÍCIO DE JORNADA</t>
  </si>
  <si>
    <t>TIOCIANATO URINÁRIO FINAL DE JORNADA DE TRABALHO</t>
  </si>
  <si>
    <t>TIPAGEM SANGUINEA</t>
  </si>
  <si>
    <t>TIREOGLOBULINA</t>
  </si>
  <si>
    <t>TIREOGLOBULINA, ANTICORPOS (40316106)</t>
  </si>
  <si>
    <t>TOLUENO</t>
  </si>
  <si>
    <t>TOLUENO URINA</t>
  </si>
  <si>
    <t>TOXICOLOGICO EM CABELO (DB)</t>
  </si>
  <si>
    <t>TOXOPLASMOSE IGG(IFI)</t>
  </si>
  <si>
    <t>TOXOPLASMOSE IGM (IFI)</t>
  </si>
  <si>
    <t>TOXOPLASMOSE, ANTICORPOS IgG</t>
  </si>
  <si>
    <t>TOXOPLASMOSE, ANTICORPOS IgM</t>
  </si>
  <si>
    <t>TRANSAMINASE OXALACETICA (TGO/AST)</t>
  </si>
  <si>
    <t>TRANSAMINASE PIRUVICA (TGP/ALT)</t>
  </si>
  <si>
    <t>TRANSAMINASE PIRUVICA (TGP/ALT) - DILUIDO</t>
  </si>
  <si>
    <t>TRICLOROCOMPOSTOS TOTAIS, FINAL DE JORNADA</t>
  </si>
  <si>
    <t>TRICLOROCOMPOSTOS TOTAIS, INICIO DE JORNADA</t>
  </si>
  <si>
    <t>TRICLOROCOMPOSTOS TOTAIS, URINA ISOLADA</t>
  </si>
  <si>
    <t>TRIGLICERIDES</t>
  </si>
  <si>
    <t>TROPONINA</t>
  </si>
  <si>
    <t>TSH ULTRA SENSIVEL</t>
  </si>
  <si>
    <t>UREIA SERICA</t>
  </si>
  <si>
    <t>UREIA SERICA - NEFRO</t>
  </si>
  <si>
    <t>URINA I - COLETA COM SONDA</t>
  </si>
  <si>
    <t>URINA I - COLETA SUPRAPÚBICA</t>
  </si>
  <si>
    <t>URINA I, JATO MÉDIO</t>
  </si>
  <si>
    <t>URINA I, JATO MÉDIO - RECOLETA</t>
  </si>
  <si>
    <t>UROCULTURA - COLETA COM SONDA</t>
  </si>
  <si>
    <t>UROCULTURA - COLETA SUPRAPÚBICA</t>
  </si>
  <si>
    <t>UROCULTURA MANUAL, JATO MÉDIO</t>
  </si>
  <si>
    <t>UROCULTURA, JATO MEDIO</t>
  </si>
  <si>
    <t>VARICELLA ZOSTER, ANTICORPOS ANTI IgG</t>
  </si>
  <si>
    <t>VARICELLA ZOSTER, ANTICORPOS ANTI IgM</t>
  </si>
  <si>
    <t>VITAMINA A</t>
  </si>
  <si>
    <t>VITAMINA B12</t>
  </si>
  <si>
    <t>VITAMINA B6</t>
  </si>
  <si>
    <t>VITAMINA C</t>
  </si>
  <si>
    <t>WAALER ROSE</t>
  </si>
  <si>
    <t>ZINCO</t>
  </si>
  <si>
    <t>ZINCO PROTOPORFIRINA</t>
  </si>
  <si>
    <t>QTDE</t>
  </si>
  <si>
    <t>MNEMÔNICO</t>
  </si>
  <si>
    <t>PROCEDIMENTO</t>
  </si>
  <si>
    <t>CUSTO</t>
  </si>
  <si>
    <t xml:space="preserve">VALOR </t>
  </si>
  <si>
    <t>25OHVITD</t>
  </si>
  <si>
    <t xml:space="preserve">UNILAB - EXAMES LABORATORIAIS </t>
  </si>
  <si>
    <t>EXAMES MAIS UTILIZADOS</t>
  </si>
  <si>
    <t>ACFOL</t>
  </si>
  <si>
    <t>ÁCIDO FÓLICO</t>
  </si>
  <si>
    <t>HIPURIS</t>
  </si>
  <si>
    <t>ÁCIDO HIPÚRICO</t>
  </si>
  <si>
    <t>METHURIS</t>
  </si>
  <si>
    <t>ÁCIDO METIL HIPÚRICO</t>
  </si>
  <si>
    <t>ACUR</t>
  </si>
  <si>
    <t>ÁCIDO ÚRICO</t>
  </si>
  <si>
    <t>CA</t>
  </si>
  <si>
    <t>CÁLCIO</t>
  </si>
  <si>
    <t>COL</t>
  </si>
  <si>
    <t xml:space="preserve">COLESTEROL TOTAL  </t>
  </si>
  <si>
    <t>COLTF</t>
  </si>
  <si>
    <t>COPRO</t>
  </si>
  <si>
    <t>CPK</t>
  </si>
  <si>
    <t>CRE</t>
  </si>
  <si>
    <t>CREATININA</t>
  </si>
  <si>
    <t>FAN</t>
  </si>
  <si>
    <t>FREUM</t>
  </si>
  <si>
    <t>FATOR REUMATOIDE</t>
  </si>
  <si>
    <t>FERR</t>
  </si>
  <si>
    <t xml:space="preserve">FE </t>
  </si>
  <si>
    <t>FERRO</t>
  </si>
  <si>
    <t xml:space="preserve">GLI </t>
  </si>
  <si>
    <t>GLICOSE</t>
  </si>
  <si>
    <t>HBA1C</t>
  </si>
  <si>
    <t>HEMOGLOBINA GLICADA</t>
  </si>
  <si>
    <t>HEMO</t>
  </si>
  <si>
    <t>VHS</t>
  </si>
  <si>
    <t>HEMOSSEDIMENTAÇÃO</t>
  </si>
  <si>
    <t>POT</t>
  </si>
  <si>
    <t>K (POTASSIO)</t>
  </si>
  <si>
    <t>MAG</t>
  </si>
  <si>
    <t>MAGNESIO</t>
  </si>
  <si>
    <t>SOD</t>
  </si>
  <si>
    <t>NA (SODIO)</t>
  </si>
  <si>
    <t>NS1</t>
  </si>
  <si>
    <t>PROTO</t>
  </si>
  <si>
    <t>PROTOPARASITOLOGICO</t>
  </si>
  <si>
    <t>PSAT</t>
  </si>
  <si>
    <t xml:space="preserve">PSA </t>
  </si>
  <si>
    <t>PTHI</t>
  </si>
  <si>
    <t>SGOCFEZ</t>
  </si>
  <si>
    <t>SANGUE OCULTO NAS FEZES</t>
  </si>
  <si>
    <t>T4</t>
  </si>
  <si>
    <t>T4L</t>
  </si>
  <si>
    <t>T4L LIVRE</t>
  </si>
  <si>
    <t>TESTL</t>
  </si>
  <si>
    <t>TESTORONA LIVRE</t>
  </si>
  <si>
    <t>TESTT</t>
  </si>
  <si>
    <t>TGO</t>
  </si>
  <si>
    <t>TRANSAMINASE OXALACETICA</t>
  </si>
  <si>
    <t>TGP</t>
  </si>
  <si>
    <t>TRANSAMINASE PIRUVICA</t>
  </si>
  <si>
    <t>TGL</t>
  </si>
  <si>
    <t>TROPO</t>
  </si>
  <si>
    <t>TROPOTONINA</t>
  </si>
  <si>
    <t>TSH</t>
  </si>
  <si>
    <t>URE</t>
  </si>
  <si>
    <t>UREIA</t>
  </si>
  <si>
    <t>URI2J</t>
  </si>
  <si>
    <t>URINA I</t>
  </si>
  <si>
    <t>URO2JM</t>
  </si>
  <si>
    <t>UROCULTURA</t>
  </si>
  <si>
    <t>VITB12</t>
  </si>
  <si>
    <t>VIT B12</t>
  </si>
  <si>
    <t>VIT D</t>
  </si>
  <si>
    <t>ZN</t>
  </si>
  <si>
    <t>HIPURIJ</t>
  </si>
  <si>
    <t>AMHI</t>
  </si>
  <si>
    <t>ALB</t>
  </si>
  <si>
    <t>AMIL</t>
  </si>
  <si>
    <t>PSATL</t>
  </si>
  <si>
    <t>BILI#</t>
  </si>
  <si>
    <t>BRUC-IGG</t>
  </si>
  <si>
    <t>BRUC-IGM</t>
  </si>
  <si>
    <t>CA724</t>
  </si>
  <si>
    <t>CAIONUNI</t>
  </si>
  <si>
    <t>TIBC</t>
  </si>
  <si>
    <t>COAG-UNI</t>
  </si>
  <si>
    <t>COPROE</t>
  </si>
  <si>
    <t>CINA-S</t>
  </si>
  <si>
    <t xml:space="preserve">CRE </t>
  </si>
  <si>
    <t>CR</t>
  </si>
  <si>
    <t>DENORP002</t>
  </si>
  <si>
    <t>DENORP003</t>
  </si>
  <si>
    <t>DES LA(R</t>
  </si>
  <si>
    <t>ELFPROT</t>
  </si>
  <si>
    <t>E2</t>
  </si>
  <si>
    <t>ESTRIOL</t>
  </si>
  <si>
    <t>FE</t>
  </si>
  <si>
    <t xml:space="preserve">FOS </t>
  </si>
  <si>
    <t xml:space="preserve">FSH </t>
  </si>
  <si>
    <t>FTAG</t>
  </si>
  <si>
    <t>FTAM</t>
  </si>
  <si>
    <t>FUNCFEZ</t>
  </si>
  <si>
    <t>GGT</t>
  </si>
  <si>
    <t>GASOV</t>
  </si>
  <si>
    <t>SHBG1</t>
  </si>
  <si>
    <t>HVA-G</t>
  </si>
  <si>
    <t>HVA-M</t>
  </si>
  <si>
    <t>ANTIHBCM</t>
  </si>
  <si>
    <t>ANTIHBCT</t>
  </si>
  <si>
    <t>ANTIHBS</t>
  </si>
  <si>
    <t>AHBE</t>
  </si>
  <si>
    <t>HBE</t>
  </si>
  <si>
    <t>HBSAG</t>
  </si>
  <si>
    <t>HCV</t>
  </si>
  <si>
    <t>HIV</t>
  </si>
  <si>
    <t>HOM</t>
  </si>
  <si>
    <t>LACT-3T</t>
  </si>
  <si>
    <t>LH</t>
  </si>
  <si>
    <t xml:space="preserve">MNURIS </t>
  </si>
  <si>
    <t>MICOL</t>
  </si>
  <si>
    <t>ANTITPO</t>
  </si>
  <si>
    <t>PROG</t>
  </si>
  <si>
    <t xml:space="preserve">PCR </t>
  </si>
  <si>
    <t>PCRUS</t>
  </si>
  <si>
    <t>RETIC</t>
  </si>
  <si>
    <t>RUBG</t>
  </si>
  <si>
    <t>RUBM</t>
  </si>
  <si>
    <t>SIF</t>
  </si>
  <si>
    <t>T3L</t>
  </si>
  <si>
    <t xml:space="preserve">T3 </t>
  </si>
  <si>
    <t xml:space="preserve">T4 </t>
  </si>
  <si>
    <t>TP-UNI</t>
  </si>
  <si>
    <t>TTPA-UNI</t>
  </si>
  <si>
    <t>ABO</t>
  </si>
  <si>
    <t>TOXOG</t>
  </si>
  <si>
    <t>TOXOM</t>
  </si>
  <si>
    <t>URO2J</t>
  </si>
  <si>
    <t xml:space="preserve">VIT-A </t>
  </si>
  <si>
    <t>VIT-C#</t>
  </si>
  <si>
    <t>WROSE</t>
  </si>
  <si>
    <t>CENTRO MÉDICO INTEGRADO 2026</t>
  </si>
  <si>
    <t xml:space="preserve">RELATÓRIO CUSTOS UNILAB - RELATÓRIO DE VENDAS </t>
  </si>
  <si>
    <t>VENDA</t>
  </si>
  <si>
    <t>RECEITA</t>
  </si>
  <si>
    <t>LUCRO</t>
  </si>
  <si>
    <t>SEQUÊNCIA  ALFABETICA - A</t>
  </si>
  <si>
    <t>SEQUÊNCIA  ALFABETICA - B</t>
  </si>
  <si>
    <t>SEQUÊNCIA  ALFABETICA - C</t>
  </si>
  <si>
    <t>CA125</t>
  </si>
  <si>
    <t>CA153</t>
  </si>
  <si>
    <t>CA199</t>
  </si>
  <si>
    <t>CL</t>
  </si>
  <si>
    <t>SEQUÊNCIA  ALFABETICA - D</t>
  </si>
  <si>
    <t>DHEA</t>
  </si>
  <si>
    <t>SEQUÊNCIA  ALFABETICA - E</t>
  </si>
  <si>
    <t>SEQUÊNCIA  ALFABETICA - F</t>
  </si>
  <si>
    <t>SEQUÊNCIA  ALFABETICA - G</t>
  </si>
  <si>
    <t>GLI</t>
  </si>
  <si>
    <t>SEQUÊNCIA  ALFABETICA - H</t>
  </si>
  <si>
    <t>SEQUÊNCIA  ALFABETICA - I</t>
  </si>
  <si>
    <t>SEQUÊNCIA  ALFABETICA - L</t>
  </si>
  <si>
    <t>LIP</t>
  </si>
  <si>
    <t>SEQUÊNCIA  ALFABETICA - M</t>
  </si>
  <si>
    <t>MANGANES (HEMOGRAMA)</t>
  </si>
  <si>
    <t>SEQUÊNCIA  ALFABETICA - N</t>
  </si>
  <si>
    <t>SEQUÊNCIA  ALFABETICA - P</t>
  </si>
  <si>
    <t xml:space="preserve">PRL </t>
  </si>
  <si>
    <t>SEQUÊNCIA  ALFABETICA - R</t>
  </si>
  <si>
    <t>SEQUÊNCIA  ALFABETICA - S</t>
  </si>
  <si>
    <t>NA</t>
  </si>
  <si>
    <t>SEQUÊNCIA  ALFABETICA - T</t>
  </si>
  <si>
    <t>SEQUÊNCIA  ALFABETICA - U</t>
  </si>
  <si>
    <t>SEQUÊNCIA  ALFABETICA - V</t>
  </si>
  <si>
    <t>SEQUÊNCIA  ALFABETICA - W</t>
  </si>
  <si>
    <t>SEQUÊNCIA  ALFABETICA - Z</t>
  </si>
  <si>
    <t>SEQUÊNCIA  ALFABÉTICA - E</t>
  </si>
  <si>
    <t>SEQUÊNCIA  ALFABÉTICA - F</t>
  </si>
  <si>
    <t>SEQUÊNCIA  ALFABÉTICA - G</t>
  </si>
  <si>
    <t>SEQUÊNCIA  ALFABÉTICA - H</t>
  </si>
  <si>
    <t>SEQUÊNCIA  ALFABÉTICA - I</t>
  </si>
  <si>
    <t>SEQUÊNCIA  ALFABÉTICA - L</t>
  </si>
  <si>
    <t>SEQUÊNCIA  ALFABÉTICA - M</t>
  </si>
  <si>
    <t>SEQUÊNCIA  ALFABÉTICA - N</t>
  </si>
  <si>
    <t>SEQUÊNCIA  ALFABÉTICA - P</t>
  </si>
  <si>
    <t>SEQUÊNCIA  ALFABÉTICA - R</t>
  </si>
  <si>
    <t>SEQUÊNCIA  ALFABÉTICA - S</t>
  </si>
  <si>
    <t>SEQUÊNCIA  ALFABÉTICA - T</t>
  </si>
  <si>
    <t xml:space="preserve">SEQUÊNCIA  ALFABÉTICA - V </t>
  </si>
  <si>
    <t>SEQUÊNCIA  ALFABÉTICA - Z</t>
  </si>
  <si>
    <t>SEQUÊNCIA  ALFABÉTICA - W</t>
  </si>
  <si>
    <t>SEQUÊNCIA  ALFABÉTICA - U</t>
  </si>
  <si>
    <t>UNILAB - EXAMES LABORATORIAIS</t>
  </si>
  <si>
    <t>SEQUÊNCIA  ALFABÉTICA - A</t>
  </si>
  <si>
    <t>SEQUÊNCIA  ALFABÉTICA - B</t>
  </si>
  <si>
    <t>SEQUÊNCIA  ALFABÉTICA - C</t>
  </si>
  <si>
    <t>SEQUÊNCIA  ALFABÉTICA -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</si>
</sst>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44" formatCode="_-&quot;R$&quot;\ * #,##0.00_-;\-&quot;R$&quot;\ * #,##0.00_-;_-&quot;R$&quot;\ * &quot;-&quot;??_-;_-@_-"/>
  </numFmts>
  <fonts count="1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36"/>
      <color rgb="FFFFFFFF"/>
      <name val="Arial"/>
      <family val="2"/>
    </font>
    <font>
      <sz val="16"/>
      <color theme="1"/>
      <name val="Arial"/>
      <family val="2"/>
    </font>
    <font>
      <sz val="18"/>
      <color theme="1"/>
      <name val="Arial"/>
      <family val="2"/>
    </font>
    <font>
      <b/>
      <sz val="20"/>
      <color theme="0"/>
      <name val="Arial"/>
      <family val="2"/>
    </font>
    <font>
      <b/>
      <i/>
      <sz val="24"/>
      <color rgb="FFFFFFFF"/>
      <name val="Arial"/>
      <family val="2"/>
    </font>
    <font>
      <b/>
      <sz val="22"/>
      <color theme="0"/>
      <name val="Arial"/>
      <family val="2"/>
    </font>
    <font>
      <sz val="16"/>
      <color rgb="FF000000"/>
      <name val="Arial"/>
      <family val="2"/>
    </font>
    <font>
      <sz val="18"/>
      <color rgb="FF000000"/>
      <name val="Arial Black"/>
      <family val="2"/>
    </font>
    <font>
      <sz val="11"/>
      <color rgb="FF000000"/>
      <name val="Calibri"/>
      <family val="2"/>
    </font>
    <font>
      <b/>
      <sz val="28"/>
      <color rgb="FFFFFFFF"/>
      <name val="Arial"/>
      <family val="2"/>
    </font>
    <font>
      <b/>
      <sz val="26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751515"/>
        <bgColor rgb="FF000000"/>
      </patternFill>
    </fill>
    <fill>
      <patternFill patternType="solid">
        <fgColor rgb="FFC0000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rgb="FFFF0000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</borders>
  <cellStyleXfs count="1">
    <xf numFmtId="0" fontId="0" fillId="0" borderId="0"/>
  </cellStyleXfs>
  <cellXfs count="121">
    <xf numFmtId="0" fontId="0" fillId="0" borderId="0" xfId="0"/>
    <xf numFmtId="0" fontId="1" fillId="0" borderId="1" xfId="0" applyFont="1" applyBorder="1"/>
    <xf numFmtId="0" fontId="0" fillId="0" borderId="1" xfId="0" applyBorder="1"/>
    <xf numFmtId="44" fontId="1" fillId="0" borderId="1" xfId="0" applyNumberFormat="1" applyFont="1" applyBorder="1"/>
    <xf numFmtId="44" fontId="0" fillId="0" borderId="1" xfId="0" applyNumberFormat="1" applyBorder="1"/>
    <xf numFmtId="44" fontId="0" fillId="0" borderId="0" xfId="0" applyNumberFormat="1"/>
    <xf numFmtId="0" fontId="3" fillId="4" borderId="1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44" fontId="4" fillId="4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0" fillId="4" borderId="0" xfId="0" applyFill="1"/>
    <xf numFmtId="0" fontId="4" fillId="4" borderId="4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10" fillId="0" borderId="0" xfId="0" applyFont="1"/>
    <xf numFmtId="0" fontId="10" fillId="0" borderId="0" xfId="0" applyFont="1" applyAlignment="1">
      <alignment vertical="center"/>
    </xf>
    <xf numFmtId="0" fontId="0" fillId="0" borderId="0" xfId="0" applyAlignment="1">
      <alignment vertical="center"/>
    </xf>
    <xf numFmtId="8" fontId="8" fillId="4" borderId="14" xfId="0" applyNumberFormat="1" applyFont="1" applyFill="1" applyBorder="1"/>
    <xf numFmtId="0" fontId="8" fillId="4" borderId="16" xfId="0" applyFont="1" applyFill="1" applyBorder="1" applyAlignment="1">
      <alignment horizontal="center" vertical="center"/>
    </xf>
    <xf numFmtId="0" fontId="8" fillId="4" borderId="16" xfId="0" applyFont="1" applyFill="1" applyBorder="1" applyAlignment="1">
      <alignment horizontal="left" vertical="center"/>
    </xf>
    <xf numFmtId="8" fontId="8" fillId="4" borderId="16" xfId="0" applyNumberFormat="1" applyFont="1" applyFill="1" applyBorder="1"/>
    <xf numFmtId="0" fontId="8" fillId="4" borderId="12" xfId="0" applyFont="1" applyFill="1" applyBorder="1" applyAlignment="1">
      <alignment horizontal="left" vertical="center"/>
    </xf>
    <xf numFmtId="8" fontId="8" fillId="4" borderId="12" xfId="0" applyNumberFormat="1" applyFont="1" applyFill="1" applyBorder="1"/>
    <xf numFmtId="0" fontId="8" fillId="4" borderId="12" xfId="0" applyFont="1" applyFill="1" applyBorder="1" applyAlignment="1">
      <alignment horizontal="center" vertical="center"/>
    </xf>
    <xf numFmtId="0" fontId="8" fillId="4" borderId="18" xfId="0" applyFont="1" applyFill="1" applyBorder="1" applyAlignment="1">
      <alignment horizontal="center" vertical="center"/>
    </xf>
    <xf numFmtId="10" fontId="8" fillId="4" borderId="19" xfId="0" applyNumberFormat="1" applyFont="1" applyFill="1" applyBorder="1"/>
    <xf numFmtId="0" fontId="8" fillId="4" borderId="20" xfId="0" applyFont="1" applyFill="1" applyBorder="1" applyAlignment="1">
      <alignment horizontal="center" vertical="center"/>
    </xf>
    <xf numFmtId="10" fontId="8" fillId="4" borderId="21" xfId="0" applyNumberFormat="1" applyFont="1" applyFill="1" applyBorder="1"/>
    <xf numFmtId="0" fontId="8" fillId="4" borderId="17" xfId="0" applyFont="1" applyFill="1" applyBorder="1" applyAlignment="1">
      <alignment horizontal="center" vertical="center"/>
    </xf>
    <xf numFmtId="8" fontId="8" fillId="4" borderId="22" xfId="0" applyNumberFormat="1" applyFont="1" applyFill="1" applyBorder="1"/>
    <xf numFmtId="10" fontId="8" fillId="4" borderId="23" xfId="0" applyNumberFormat="1" applyFont="1" applyFill="1" applyBorder="1"/>
    <xf numFmtId="0" fontId="8" fillId="4" borderId="24" xfId="0" applyFont="1" applyFill="1" applyBorder="1" applyAlignment="1">
      <alignment horizontal="center" vertical="center"/>
    </xf>
    <xf numFmtId="0" fontId="8" fillId="4" borderId="24" xfId="0" applyFont="1" applyFill="1" applyBorder="1" applyAlignment="1">
      <alignment horizontal="left" vertical="center"/>
    </xf>
    <xf numFmtId="8" fontId="8" fillId="4" borderId="24" xfId="0" applyNumberFormat="1" applyFont="1" applyFill="1" applyBorder="1"/>
    <xf numFmtId="8" fontId="8" fillId="4" borderId="25" xfId="0" applyNumberFormat="1" applyFont="1" applyFill="1" applyBorder="1"/>
    <xf numFmtId="10" fontId="8" fillId="4" borderId="26" xfId="0" applyNumberFormat="1" applyFont="1" applyFill="1" applyBorder="1"/>
    <xf numFmtId="0" fontId="8" fillId="4" borderId="12" xfId="0" applyFont="1" applyFill="1" applyBorder="1" applyAlignment="1">
      <alignment wrapText="1"/>
    </xf>
    <xf numFmtId="0" fontId="8" fillId="4" borderId="16" xfId="0" applyFont="1" applyFill="1" applyBorder="1" applyAlignment="1">
      <alignment wrapText="1"/>
    </xf>
    <xf numFmtId="0" fontId="8" fillId="4" borderId="16" xfId="0" applyFont="1" applyFill="1" applyBorder="1" applyAlignment="1">
      <alignment vertical="center" wrapText="1"/>
    </xf>
    <xf numFmtId="0" fontId="3" fillId="4" borderId="12" xfId="0" applyFont="1" applyFill="1" applyBorder="1" applyAlignment="1">
      <alignment horizontal="center" vertical="center"/>
    </xf>
    <xf numFmtId="0" fontId="8" fillId="4" borderId="27" xfId="0" applyFont="1" applyFill="1" applyBorder="1" applyAlignment="1">
      <alignment horizontal="center" vertical="center"/>
    </xf>
    <xf numFmtId="8" fontId="8" fillId="4" borderId="13" xfId="0" applyNumberFormat="1" applyFont="1" applyFill="1" applyBorder="1"/>
    <xf numFmtId="0" fontId="3" fillId="4" borderId="28" xfId="0" applyFont="1" applyFill="1" applyBorder="1" applyAlignment="1">
      <alignment horizontal="center" vertical="center"/>
    </xf>
    <xf numFmtId="0" fontId="8" fillId="4" borderId="29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left" vertical="center"/>
    </xf>
    <xf numFmtId="0" fontId="8" fillId="4" borderId="30" xfId="0" applyFont="1" applyFill="1" applyBorder="1" applyAlignment="1">
      <alignment horizontal="center" vertical="center"/>
    </xf>
    <xf numFmtId="0" fontId="8" fillId="4" borderId="30" xfId="0" applyFont="1" applyFill="1" applyBorder="1" applyAlignment="1">
      <alignment horizontal="left" vertical="center"/>
    </xf>
    <xf numFmtId="8" fontId="8" fillId="4" borderId="30" xfId="0" applyNumberFormat="1" applyFont="1" applyFill="1" applyBorder="1"/>
    <xf numFmtId="0" fontId="8" fillId="4" borderId="33" xfId="0" applyFont="1" applyFill="1" applyBorder="1" applyAlignment="1">
      <alignment horizontal="center" vertical="center"/>
    </xf>
    <xf numFmtId="0" fontId="8" fillId="4" borderId="33" xfId="0" applyFont="1" applyFill="1" applyBorder="1" applyAlignment="1">
      <alignment horizontal="left" vertical="center"/>
    </xf>
    <xf numFmtId="8" fontId="8" fillId="4" borderId="33" xfId="0" applyNumberFormat="1" applyFont="1" applyFill="1" applyBorder="1"/>
    <xf numFmtId="0" fontId="5" fillId="5" borderId="5" xfId="0" applyFont="1" applyFill="1" applyBorder="1" applyAlignment="1">
      <alignment horizontal="center" vertical="center" wrapText="1"/>
    </xf>
    <xf numFmtId="0" fontId="7" fillId="5" borderId="5" xfId="0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/>
    </xf>
    <xf numFmtId="0" fontId="8" fillId="4" borderId="16" xfId="0" applyFont="1" applyFill="1" applyBorder="1"/>
    <xf numFmtId="0" fontId="8" fillId="4" borderId="12" xfId="0" applyFont="1" applyFill="1" applyBorder="1"/>
    <xf numFmtId="0" fontId="8" fillId="4" borderId="16" xfId="0" applyFont="1" applyFill="1" applyBorder="1" applyAlignment="1">
      <alignment vertical="center"/>
    </xf>
    <xf numFmtId="44" fontId="7" fillId="5" borderId="5" xfId="0" applyNumberFormat="1" applyFont="1" applyFill="1" applyBorder="1" applyAlignment="1">
      <alignment horizontal="center" vertical="center" wrapText="1"/>
    </xf>
    <xf numFmtId="44" fontId="10" fillId="0" borderId="0" xfId="0" applyNumberFormat="1" applyFont="1"/>
    <xf numFmtId="44" fontId="9" fillId="4" borderId="30" xfId="0" applyNumberFormat="1" applyFont="1" applyFill="1" applyBorder="1"/>
    <xf numFmtId="44" fontId="9" fillId="4" borderId="12" xfId="0" applyNumberFormat="1" applyFont="1" applyFill="1" applyBorder="1"/>
    <xf numFmtId="44" fontId="9" fillId="4" borderId="16" xfId="0" applyNumberFormat="1" applyFont="1" applyFill="1" applyBorder="1"/>
    <xf numFmtId="44" fontId="9" fillId="4" borderId="24" xfId="0" applyNumberFormat="1" applyFont="1" applyFill="1" applyBorder="1"/>
    <xf numFmtId="44" fontId="9" fillId="4" borderId="33" xfId="0" applyNumberFormat="1" applyFont="1" applyFill="1" applyBorder="1"/>
    <xf numFmtId="0" fontId="2" fillId="3" borderId="7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0" fontId="5" fillId="5" borderId="31" xfId="0" applyFont="1" applyFill="1" applyBorder="1" applyAlignment="1">
      <alignment horizontal="center" vertical="center" wrapText="1"/>
    </xf>
    <xf numFmtId="0" fontId="5" fillId="5" borderId="6" xfId="0" applyFont="1" applyFill="1" applyBorder="1" applyAlignment="1">
      <alignment horizontal="center" vertical="center" wrapText="1"/>
    </xf>
    <xf numFmtId="0" fontId="5" fillId="5" borderId="32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0" fontId="5" fillId="6" borderId="6" xfId="0" applyFont="1" applyFill="1" applyBorder="1" applyAlignment="1">
      <alignment horizontal="center" vertical="center"/>
    </xf>
    <xf numFmtId="0" fontId="4" fillId="4" borderId="35" xfId="0" applyFont="1" applyFill="1" applyBorder="1" applyAlignment="1">
      <alignment horizontal="center" vertical="center"/>
    </xf>
    <xf numFmtId="44" fontId="4" fillId="4" borderId="34" xfId="0" applyNumberFormat="1" applyFont="1" applyFill="1" applyBorder="1" applyAlignment="1">
      <alignment horizontal="center" vertical="center"/>
    </xf>
    <xf numFmtId="44" fontId="1" fillId="0" borderId="0" xfId="0" applyNumberFormat="1" applyFont="1"/>
    <xf numFmtId="0" fontId="5" fillId="5" borderId="36" xfId="0" applyFont="1" applyFill="1" applyBorder="1" applyAlignment="1">
      <alignment horizontal="center" vertical="center" wrapText="1"/>
    </xf>
    <xf numFmtId="0" fontId="5" fillId="5" borderId="37" xfId="0" applyFont="1" applyFill="1" applyBorder="1" applyAlignment="1">
      <alignment horizontal="center" vertical="center" wrapText="1"/>
    </xf>
    <xf numFmtId="44" fontId="5" fillId="5" borderId="38" xfId="0" applyNumberFormat="1" applyFont="1" applyFill="1" applyBorder="1" applyAlignment="1">
      <alignment horizontal="center" vertical="center" wrapText="1"/>
    </xf>
    <xf numFmtId="44" fontId="12" fillId="4" borderId="39" xfId="0" applyNumberFormat="1" applyFont="1" applyFill="1" applyBorder="1" applyAlignment="1">
      <alignment horizontal="center" vertical="center"/>
    </xf>
    <xf numFmtId="44" fontId="12" fillId="4" borderId="40" xfId="0" applyNumberFormat="1" applyFont="1" applyFill="1" applyBorder="1" applyAlignment="1">
      <alignment horizontal="center" vertical="center"/>
    </xf>
    <xf numFmtId="44" fontId="12" fillId="4" borderId="40" xfId="0" applyNumberFormat="1" applyFont="1" applyFill="1" applyBorder="1" applyAlignment="1">
      <alignment horizontal="center" vertical="center" wrapText="1"/>
    </xf>
    <xf numFmtId="0" fontId="4" fillId="4" borderId="41" xfId="0" applyFont="1" applyFill="1" applyBorder="1" applyAlignment="1">
      <alignment horizontal="center" vertical="center"/>
    </xf>
    <xf numFmtId="0" fontId="4" fillId="4" borderId="42" xfId="0" applyFont="1" applyFill="1" applyBorder="1" applyAlignment="1">
      <alignment horizontal="center" vertical="center"/>
    </xf>
    <xf numFmtId="0" fontId="4" fillId="4" borderId="43" xfId="0" applyFont="1" applyFill="1" applyBorder="1" applyAlignment="1">
      <alignment horizontal="center" vertical="center" wrapText="1"/>
    </xf>
    <xf numFmtId="44" fontId="12" fillId="4" borderId="44" xfId="0" applyNumberFormat="1" applyFont="1" applyFill="1" applyBorder="1" applyAlignment="1">
      <alignment horizontal="center" vertical="center"/>
    </xf>
    <xf numFmtId="0" fontId="4" fillId="4" borderId="34" xfId="0" applyFont="1" applyFill="1" applyBorder="1" applyAlignment="1">
      <alignment horizontal="center" vertical="center" wrapText="1"/>
    </xf>
    <xf numFmtId="44" fontId="9" fillId="4" borderId="46" xfId="0" applyNumberFormat="1" applyFont="1" applyFill="1" applyBorder="1"/>
    <xf numFmtId="0" fontId="5" fillId="5" borderId="48" xfId="0" applyFont="1" applyFill="1" applyBorder="1" applyAlignment="1">
      <alignment horizontal="center" vertical="center"/>
    </xf>
    <xf numFmtId="0" fontId="5" fillId="5" borderId="49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left" vertical="center"/>
    </xf>
    <xf numFmtId="0" fontId="8" fillId="4" borderId="1" xfId="0" applyFont="1" applyFill="1" applyBorder="1"/>
    <xf numFmtId="0" fontId="6" fillId="2" borderId="50" xfId="0" applyFont="1" applyFill="1" applyBorder="1" applyAlignment="1">
      <alignment horizontal="center" vertical="center"/>
    </xf>
    <xf numFmtId="0" fontId="6" fillId="2" borderId="48" xfId="0" applyFont="1" applyFill="1" applyBorder="1" applyAlignment="1">
      <alignment horizontal="center" vertical="center"/>
    </xf>
    <xf numFmtId="0" fontId="6" fillId="2" borderId="51" xfId="0" applyFont="1" applyFill="1" applyBorder="1" applyAlignment="1">
      <alignment horizontal="center" vertical="center"/>
    </xf>
    <xf numFmtId="0" fontId="11" fillId="3" borderId="52" xfId="0" applyFont="1" applyFill="1" applyBorder="1" applyAlignment="1">
      <alignment horizontal="center" vertical="center"/>
    </xf>
    <xf numFmtId="0" fontId="11" fillId="3" borderId="0" xfId="0" applyFont="1" applyFill="1" applyBorder="1" applyAlignment="1">
      <alignment horizontal="center" vertical="center"/>
    </xf>
    <xf numFmtId="0" fontId="11" fillId="3" borderId="53" xfId="0" applyFont="1" applyFill="1" applyBorder="1" applyAlignment="1">
      <alignment horizontal="center" vertical="center"/>
    </xf>
    <xf numFmtId="44" fontId="7" fillId="5" borderId="5" xfId="0" applyNumberFormat="1" applyFont="1" applyFill="1" applyBorder="1" applyAlignment="1">
      <alignment horizontal="center" vertical="center"/>
    </xf>
    <xf numFmtId="0" fontId="5" fillId="5" borderId="50" xfId="0" applyFont="1" applyFill="1" applyBorder="1" applyAlignment="1">
      <alignment horizontal="center" vertical="center"/>
    </xf>
    <xf numFmtId="0" fontId="5" fillId="5" borderId="51" xfId="0" applyFont="1" applyFill="1" applyBorder="1" applyAlignment="1">
      <alignment horizontal="center" vertical="center"/>
    </xf>
    <xf numFmtId="0" fontId="8" fillId="4" borderId="3" xfId="0" applyFont="1" applyFill="1" applyBorder="1" applyAlignment="1">
      <alignment horizontal="center" vertical="center"/>
    </xf>
    <xf numFmtId="44" fontId="9" fillId="4" borderId="54" xfId="0" applyNumberFormat="1" applyFont="1" applyFill="1" applyBorder="1"/>
    <xf numFmtId="0" fontId="5" fillId="5" borderId="55" xfId="0" applyFont="1" applyFill="1" applyBorder="1" applyAlignment="1">
      <alignment horizontal="center" vertical="center"/>
    </xf>
    <xf numFmtId="0" fontId="5" fillId="5" borderId="56" xfId="0" applyFont="1" applyFill="1" applyBorder="1" applyAlignment="1">
      <alignment horizontal="center" vertical="center"/>
    </xf>
    <xf numFmtId="0" fontId="8" fillId="4" borderId="45" xfId="0" applyFont="1" applyFill="1" applyBorder="1" applyAlignment="1">
      <alignment horizontal="center" vertical="center"/>
    </xf>
    <xf numFmtId="44" fontId="9" fillId="4" borderId="57" xfId="0" applyNumberFormat="1" applyFont="1" applyFill="1" applyBorder="1"/>
    <xf numFmtId="0" fontId="5" fillId="5" borderId="58" xfId="0" applyFont="1" applyFill="1" applyBorder="1" applyAlignment="1">
      <alignment horizontal="center" vertical="center"/>
    </xf>
    <xf numFmtId="0" fontId="5" fillId="5" borderId="59" xfId="0" applyFont="1" applyFill="1" applyBorder="1" applyAlignment="1">
      <alignment horizontal="center" vertical="center"/>
    </xf>
    <xf numFmtId="44" fontId="9" fillId="4" borderId="60" xfId="0" applyNumberFormat="1" applyFont="1" applyFill="1" applyBorder="1"/>
    <xf numFmtId="44" fontId="9" fillId="4" borderId="60" xfId="0" applyNumberFormat="1" applyFont="1" applyFill="1" applyBorder="1" applyAlignment="1">
      <alignment horizontal="center" vertical="center"/>
    </xf>
    <xf numFmtId="0" fontId="5" fillId="6" borderId="58" xfId="0" applyFont="1" applyFill="1" applyBorder="1" applyAlignment="1">
      <alignment horizontal="center" vertical="center"/>
    </xf>
    <xf numFmtId="0" fontId="5" fillId="6" borderId="59" xfId="0" applyFont="1" applyFill="1" applyBorder="1" applyAlignment="1">
      <alignment horizontal="center" vertical="center"/>
    </xf>
    <xf numFmtId="0" fontId="8" fillId="4" borderId="47" xfId="0" applyFont="1" applyFill="1" applyBorder="1" applyAlignment="1">
      <alignment horizontal="center" vertical="center"/>
    </xf>
    <xf numFmtId="0" fontId="8" fillId="4" borderId="61" xfId="0" applyFont="1" applyFill="1" applyBorder="1" applyAlignment="1">
      <alignment horizontal="center" vertical="center"/>
    </xf>
    <xf numFmtId="0" fontId="8" fillId="4" borderId="61" xfId="0" applyFont="1" applyFill="1" applyBorder="1" applyAlignment="1">
      <alignment horizontal="left" vertical="center"/>
    </xf>
    <xf numFmtId="44" fontId="9" fillId="4" borderId="62" xfId="0" applyNumberFormat="1" applyFont="1" applyFill="1" applyBorder="1"/>
  </cellXfs>
  <cellStyles count="1">
    <cellStyle name="Normal" xfId="0" builtinId="0"/>
  </cellStyles>
  <dxfs count="3">
    <dxf>
      <fill>
        <patternFill>
          <bgColor theme="2" tint="-0.24994659260841701"/>
        </patternFill>
      </fill>
    </dxf>
    <dxf>
      <font>
        <color theme="1"/>
      </font>
      <fill>
        <patternFill patternType="solid">
          <bgColor theme="2" tint="-0.249977111117893"/>
        </patternFill>
      </fill>
    </dxf>
    <dxf>
      <font>
        <color theme="1"/>
      </font>
      <fill>
        <patternFill patternType="solid">
          <bgColor theme="2" tint="-0.249977111117893"/>
        </patternFill>
      </fill>
    </dxf>
  </dxfs>
  <tableStyles count="0" defaultTableStyle="TableStyleMedium2" defaultPivotStyle="PivotStyleLight16"/>
  <colors>
    <mruColors>
      <color rgb="FFFF33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C6B95-4941-4F18-94B1-AD305E15200B}">
  <dimension ref="A1:B369"/>
  <sheetViews>
    <sheetView workbookViewId="0"/>
  </sheetViews>
  <sheetFormatPr defaultRowHeight="15" x14ac:dyDescent="0.25"/>
  <cols>
    <col min="1" max="1" width="50.7109375" customWidth="1"/>
    <col min="2" max="2" width="13.5703125" style="5" customWidth="1"/>
  </cols>
  <sheetData>
    <row r="1" spans="1:2" x14ac:dyDescent="0.25">
      <c r="A1" s="1" t="s">
        <v>0</v>
      </c>
      <c r="B1" s="3" t="s">
        <v>1</v>
      </c>
    </row>
    <row r="2" spans="1:2" x14ac:dyDescent="0.25">
      <c r="A2" s="2" t="s">
        <v>2</v>
      </c>
      <c r="B2" s="4">
        <v>17.7</v>
      </c>
    </row>
    <row r="3" spans="1:2" x14ac:dyDescent="0.25">
      <c r="A3" s="2" t="s">
        <v>3</v>
      </c>
      <c r="B3" s="4">
        <v>19.5</v>
      </c>
    </row>
    <row r="4" spans="1:2" x14ac:dyDescent="0.25">
      <c r="A4" s="2" t="s">
        <v>4</v>
      </c>
      <c r="B4" s="4">
        <v>55</v>
      </c>
    </row>
    <row r="5" spans="1:2" x14ac:dyDescent="0.25">
      <c r="A5" s="2" t="s">
        <v>5</v>
      </c>
      <c r="B5" s="4">
        <v>22</v>
      </c>
    </row>
    <row r="6" spans="1:2" x14ac:dyDescent="0.25">
      <c r="A6" s="2" t="s">
        <v>6</v>
      </c>
      <c r="B6" s="4">
        <v>22</v>
      </c>
    </row>
    <row r="7" spans="1:2" x14ac:dyDescent="0.25">
      <c r="A7" s="2" t="s">
        <v>7</v>
      </c>
      <c r="B7" s="4">
        <v>280</v>
      </c>
    </row>
    <row r="8" spans="1:2" x14ac:dyDescent="0.25">
      <c r="A8" s="2" t="s">
        <v>8</v>
      </c>
      <c r="B8" s="4">
        <v>310</v>
      </c>
    </row>
    <row r="9" spans="1:2" x14ac:dyDescent="0.25">
      <c r="A9" s="2" t="s">
        <v>9</v>
      </c>
      <c r="B9" s="4">
        <v>14</v>
      </c>
    </row>
    <row r="10" spans="1:2" x14ac:dyDescent="0.25">
      <c r="A10" s="2" t="s">
        <v>10</v>
      </c>
      <c r="B10" s="4">
        <v>34</v>
      </c>
    </row>
    <row r="11" spans="1:2" x14ac:dyDescent="0.25">
      <c r="A11" s="2" t="s">
        <v>11</v>
      </c>
      <c r="B11" s="4">
        <v>28</v>
      </c>
    </row>
    <row r="12" spans="1:2" x14ac:dyDescent="0.25">
      <c r="A12" s="2" t="s">
        <v>12</v>
      </c>
      <c r="B12" s="4">
        <v>15</v>
      </c>
    </row>
    <row r="13" spans="1:2" x14ac:dyDescent="0.25">
      <c r="A13" s="2" t="s">
        <v>13</v>
      </c>
      <c r="B13" s="4">
        <v>28</v>
      </c>
    </row>
    <row r="14" spans="1:2" x14ac:dyDescent="0.25">
      <c r="A14" s="2" t="s">
        <v>14</v>
      </c>
      <c r="B14" s="4">
        <v>126.2</v>
      </c>
    </row>
    <row r="15" spans="1:2" x14ac:dyDescent="0.25">
      <c r="A15" s="2" t="s">
        <v>15</v>
      </c>
      <c r="B15" s="4">
        <v>9.9</v>
      </c>
    </row>
    <row r="16" spans="1:2" x14ac:dyDescent="0.25">
      <c r="A16" s="2" t="s">
        <v>16</v>
      </c>
      <c r="B16" s="4">
        <v>9.9</v>
      </c>
    </row>
    <row r="17" spans="1:2" x14ac:dyDescent="0.25">
      <c r="A17" s="2" t="s">
        <v>17</v>
      </c>
      <c r="B17" s="4">
        <v>10.95</v>
      </c>
    </row>
    <row r="18" spans="1:2" x14ac:dyDescent="0.25">
      <c r="A18" s="2" t="s">
        <v>18</v>
      </c>
      <c r="B18" s="4">
        <v>10.95</v>
      </c>
    </row>
    <row r="19" spans="1:2" x14ac:dyDescent="0.25">
      <c r="A19" s="2" t="s">
        <v>19</v>
      </c>
      <c r="B19" s="4">
        <v>9.9</v>
      </c>
    </row>
    <row r="20" spans="1:2" x14ac:dyDescent="0.25">
      <c r="A20" s="2" t="s">
        <v>20</v>
      </c>
      <c r="B20" s="4">
        <v>9.9</v>
      </c>
    </row>
    <row r="21" spans="1:2" x14ac:dyDescent="0.25">
      <c r="A21" s="2" t="s">
        <v>21</v>
      </c>
      <c r="B21" s="4">
        <v>183</v>
      </c>
    </row>
    <row r="22" spans="1:2" x14ac:dyDescent="0.25">
      <c r="A22" s="2" t="s">
        <v>22</v>
      </c>
      <c r="B22" s="4">
        <v>29.35</v>
      </c>
    </row>
    <row r="23" spans="1:2" x14ac:dyDescent="0.25">
      <c r="A23" s="2" t="s">
        <v>23</v>
      </c>
      <c r="B23" s="4">
        <v>29.35</v>
      </c>
    </row>
    <row r="24" spans="1:2" x14ac:dyDescent="0.25">
      <c r="A24" s="2" t="s">
        <v>24</v>
      </c>
      <c r="B24" s="4">
        <v>29.35</v>
      </c>
    </row>
    <row r="25" spans="1:2" x14ac:dyDescent="0.25">
      <c r="A25" s="2" t="s">
        <v>25</v>
      </c>
      <c r="B25" s="4">
        <v>23</v>
      </c>
    </row>
    <row r="26" spans="1:2" x14ac:dyDescent="0.25">
      <c r="A26" s="2" t="s">
        <v>26</v>
      </c>
      <c r="B26" s="4">
        <v>23</v>
      </c>
    </row>
    <row r="27" spans="1:2" x14ac:dyDescent="0.25">
      <c r="A27" s="2" t="s">
        <v>27</v>
      </c>
      <c r="B27" s="4">
        <v>3</v>
      </c>
    </row>
    <row r="28" spans="1:2" x14ac:dyDescent="0.25">
      <c r="A28" s="2" t="s">
        <v>28</v>
      </c>
      <c r="B28" s="4">
        <v>7</v>
      </c>
    </row>
    <row r="29" spans="1:2" x14ac:dyDescent="0.25">
      <c r="A29" s="2" t="s">
        <v>29</v>
      </c>
      <c r="B29" s="4">
        <v>4</v>
      </c>
    </row>
    <row r="30" spans="1:2" x14ac:dyDescent="0.25">
      <c r="A30" s="2" t="s">
        <v>30</v>
      </c>
      <c r="B30" s="4">
        <v>60</v>
      </c>
    </row>
    <row r="31" spans="1:2" x14ac:dyDescent="0.25">
      <c r="A31" s="2" t="s">
        <v>31</v>
      </c>
      <c r="B31" s="4">
        <v>0</v>
      </c>
    </row>
    <row r="32" spans="1:2" x14ac:dyDescent="0.25">
      <c r="A32" s="2" t="s">
        <v>32</v>
      </c>
      <c r="B32" s="4">
        <v>50</v>
      </c>
    </row>
    <row r="33" spans="1:2" x14ac:dyDescent="0.25">
      <c r="A33" s="2" t="s">
        <v>33</v>
      </c>
      <c r="B33" s="4">
        <v>19.850000000000001</v>
      </c>
    </row>
    <row r="34" spans="1:2" x14ac:dyDescent="0.25">
      <c r="A34" s="2" t="s">
        <v>34</v>
      </c>
      <c r="B34" s="4">
        <v>19.850000000000001</v>
      </c>
    </row>
    <row r="35" spans="1:2" x14ac:dyDescent="0.25">
      <c r="A35" s="2" t="s">
        <v>34</v>
      </c>
      <c r="B35" s="4">
        <v>25</v>
      </c>
    </row>
    <row r="36" spans="1:2" x14ac:dyDescent="0.25">
      <c r="A36" s="2" t="s">
        <v>35</v>
      </c>
      <c r="B36" s="4">
        <v>25</v>
      </c>
    </row>
    <row r="37" spans="1:2" x14ac:dyDescent="0.25">
      <c r="A37" s="2" t="s">
        <v>36</v>
      </c>
      <c r="B37" s="4">
        <v>25</v>
      </c>
    </row>
    <row r="38" spans="1:2" x14ac:dyDescent="0.25">
      <c r="A38" s="2" t="s">
        <v>37</v>
      </c>
      <c r="B38" s="4">
        <v>29</v>
      </c>
    </row>
    <row r="39" spans="1:2" x14ac:dyDescent="0.25">
      <c r="A39" s="2" t="s">
        <v>38</v>
      </c>
      <c r="B39" s="4">
        <v>29</v>
      </c>
    </row>
    <row r="40" spans="1:2" x14ac:dyDescent="0.25">
      <c r="A40" s="2" t="s">
        <v>39</v>
      </c>
      <c r="B40" s="4">
        <v>29</v>
      </c>
    </row>
    <row r="41" spans="1:2" x14ac:dyDescent="0.25">
      <c r="A41" s="2" t="s">
        <v>40</v>
      </c>
      <c r="B41" s="4">
        <v>29</v>
      </c>
    </row>
    <row r="42" spans="1:2" x14ac:dyDescent="0.25">
      <c r="A42" s="2" t="s">
        <v>41</v>
      </c>
      <c r="B42" s="4">
        <v>29</v>
      </c>
    </row>
    <row r="43" spans="1:2" x14ac:dyDescent="0.25">
      <c r="A43" s="2" t="s">
        <v>42</v>
      </c>
      <c r="B43" s="4">
        <v>29</v>
      </c>
    </row>
    <row r="44" spans="1:2" x14ac:dyDescent="0.25">
      <c r="A44" s="2" t="s">
        <v>43</v>
      </c>
      <c r="B44" s="4">
        <v>29</v>
      </c>
    </row>
    <row r="45" spans="1:2" x14ac:dyDescent="0.25">
      <c r="A45" s="2" t="s">
        <v>44</v>
      </c>
      <c r="B45" s="4">
        <v>29</v>
      </c>
    </row>
    <row r="46" spans="1:2" x14ac:dyDescent="0.25">
      <c r="A46" s="2" t="s">
        <v>45</v>
      </c>
      <c r="B46" s="4">
        <v>29</v>
      </c>
    </row>
    <row r="47" spans="1:2" x14ac:dyDescent="0.25">
      <c r="A47" s="2" t="s">
        <v>46</v>
      </c>
      <c r="B47" s="4">
        <v>5</v>
      </c>
    </row>
    <row r="48" spans="1:2" x14ac:dyDescent="0.25">
      <c r="A48" s="2" t="s">
        <v>46</v>
      </c>
      <c r="B48" s="4">
        <v>5</v>
      </c>
    </row>
    <row r="49" spans="1:2" x14ac:dyDescent="0.25">
      <c r="A49" s="2" t="s">
        <v>47</v>
      </c>
      <c r="B49" s="4">
        <v>5</v>
      </c>
    </row>
    <row r="50" spans="1:2" x14ac:dyDescent="0.25">
      <c r="A50" s="2" t="s">
        <v>48</v>
      </c>
      <c r="B50" s="4">
        <v>28</v>
      </c>
    </row>
    <row r="51" spans="1:2" x14ac:dyDescent="0.25">
      <c r="A51" s="2" t="s">
        <v>49</v>
      </c>
      <c r="B51" s="4">
        <v>28</v>
      </c>
    </row>
    <row r="52" spans="1:2" x14ac:dyDescent="0.25">
      <c r="A52" s="2" t="s">
        <v>50</v>
      </c>
      <c r="B52" s="4">
        <v>10</v>
      </c>
    </row>
    <row r="53" spans="1:2" x14ac:dyDescent="0.25">
      <c r="A53" s="2" t="s">
        <v>51</v>
      </c>
      <c r="B53" s="4">
        <v>10</v>
      </c>
    </row>
    <row r="54" spans="1:2" x14ac:dyDescent="0.25">
      <c r="A54" s="2" t="s">
        <v>52</v>
      </c>
      <c r="B54" s="4">
        <v>37</v>
      </c>
    </row>
    <row r="55" spans="1:2" x14ac:dyDescent="0.25">
      <c r="A55" s="2" t="s">
        <v>53</v>
      </c>
      <c r="B55" s="4">
        <v>50</v>
      </c>
    </row>
    <row r="56" spans="1:2" x14ac:dyDescent="0.25">
      <c r="A56" s="2" t="s">
        <v>54</v>
      </c>
      <c r="B56" s="4">
        <v>50</v>
      </c>
    </row>
    <row r="57" spans="1:2" x14ac:dyDescent="0.25">
      <c r="A57" s="2" t="s">
        <v>55</v>
      </c>
      <c r="B57" s="4">
        <v>60</v>
      </c>
    </row>
    <row r="58" spans="1:2" x14ac:dyDescent="0.25">
      <c r="A58" s="2" t="s">
        <v>56</v>
      </c>
      <c r="B58" s="4">
        <v>30</v>
      </c>
    </row>
    <row r="59" spans="1:2" x14ac:dyDescent="0.25">
      <c r="A59" s="2" t="s">
        <v>57</v>
      </c>
      <c r="B59" s="4">
        <v>30</v>
      </c>
    </row>
    <row r="60" spans="1:2" x14ac:dyDescent="0.25">
      <c r="A60" s="2" t="s">
        <v>58</v>
      </c>
      <c r="B60" s="4">
        <v>30</v>
      </c>
    </row>
    <row r="61" spans="1:2" x14ac:dyDescent="0.25">
      <c r="A61" s="2" t="s">
        <v>59</v>
      </c>
      <c r="B61" s="4">
        <v>30</v>
      </c>
    </row>
    <row r="62" spans="1:2" x14ac:dyDescent="0.25">
      <c r="A62" s="2" t="s">
        <v>60</v>
      </c>
      <c r="B62" s="4">
        <v>30</v>
      </c>
    </row>
    <row r="63" spans="1:2" x14ac:dyDescent="0.25">
      <c r="A63" s="2" t="s">
        <v>61</v>
      </c>
      <c r="B63" s="4">
        <v>30</v>
      </c>
    </row>
    <row r="64" spans="1:2" x14ac:dyDescent="0.25">
      <c r="A64" s="2" t="s">
        <v>62</v>
      </c>
      <c r="B64" s="4">
        <v>30</v>
      </c>
    </row>
    <row r="65" spans="1:2" x14ac:dyDescent="0.25">
      <c r="A65" s="2" t="s">
        <v>63</v>
      </c>
      <c r="B65" s="4">
        <v>30</v>
      </c>
    </row>
    <row r="66" spans="1:2" x14ac:dyDescent="0.25">
      <c r="A66" s="2" t="s">
        <v>64</v>
      </c>
      <c r="B66" s="4">
        <v>15</v>
      </c>
    </row>
    <row r="67" spans="1:2" x14ac:dyDescent="0.25">
      <c r="A67" s="2" t="s">
        <v>64</v>
      </c>
      <c r="B67" s="4">
        <v>15</v>
      </c>
    </row>
    <row r="68" spans="1:2" x14ac:dyDescent="0.25">
      <c r="A68" s="2" t="s">
        <v>65</v>
      </c>
      <c r="B68" s="4">
        <v>4</v>
      </c>
    </row>
    <row r="69" spans="1:2" x14ac:dyDescent="0.25">
      <c r="A69" s="2" t="s">
        <v>66</v>
      </c>
      <c r="B69" s="4">
        <v>6</v>
      </c>
    </row>
    <row r="70" spans="1:2" x14ac:dyDescent="0.25">
      <c r="A70" s="2" t="s">
        <v>66</v>
      </c>
      <c r="B70" s="4">
        <v>6</v>
      </c>
    </row>
    <row r="71" spans="1:2" x14ac:dyDescent="0.25">
      <c r="A71" s="2" t="s">
        <v>67</v>
      </c>
      <c r="B71" s="4">
        <v>11.95</v>
      </c>
    </row>
    <row r="72" spans="1:2" x14ac:dyDescent="0.25">
      <c r="A72" s="2" t="s">
        <v>68</v>
      </c>
      <c r="B72" s="4">
        <v>8</v>
      </c>
    </row>
    <row r="73" spans="1:2" x14ac:dyDescent="0.25">
      <c r="A73" s="2" t="s">
        <v>69</v>
      </c>
      <c r="B73" s="4">
        <v>12</v>
      </c>
    </row>
    <row r="74" spans="1:2" x14ac:dyDescent="0.25">
      <c r="A74" s="2" t="s">
        <v>70</v>
      </c>
      <c r="B74" s="4">
        <v>12</v>
      </c>
    </row>
    <row r="75" spans="1:2" x14ac:dyDescent="0.25">
      <c r="A75" s="2" t="s">
        <v>71</v>
      </c>
      <c r="B75" s="4">
        <v>8</v>
      </c>
    </row>
    <row r="76" spans="1:2" x14ac:dyDescent="0.25">
      <c r="A76" s="2" t="s">
        <v>72</v>
      </c>
      <c r="B76" s="4">
        <v>13</v>
      </c>
    </row>
    <row r="77" spans="1:2" x14ac:dyDescent="0.25">
      <c r="A77" s="2" t="s">
        <v>73</v>
      </c>
      <c r="B77" s="4">
        <v>13.5</v>
      </c>
    </row>
    <row r="78" spans="1:2" x14ac:dyDescent="0.25">
      <c r="A78" s="2" t="s">
        <v>74</v>
      </c>
      <c r="B78" s="4">
        <v>13.8</v>
      </c>
    </row>
    <row r="79" spans="1:2" x14ac:dyDescent="0.25">
      <c r="A79" s="2" t="s">
        <v>75</v>
      </c>
      <c r="B79" s="4">
        <v>13.8</v>
      </c>
    </row>
    <row r="80" spans="1:2" x14ac:dyDescent="0.25">
      <c r="A80" s="2" t="s">
        <v>76</v>
      </c>
      <c r="B80" s="4">
        <v>30</v>
      </c>
    </row>
    <row r="81" spans="1:2" x14ac:dyDescent="0.25">
      <c r="A81" s="2" t="s">
        <v>77</v>
      </c>
      <c r="B81" s="4">
        <v>15</v>
      </c>
    </row>
    <row r="82" spans="1:2" x14ac:dyDescent="0.25">
      <c r="A82" s="2" t="s">
        <v>78</v>
      </c>
      <c r="B82" s="4">
        <v>4</v>
      </c>
    </row>
    <row r="83" spans="1:2" x14ac:dyDescent="0.25">
      <c r="A83" s="2" t="s">
        <v>79</v>
      </c>
      <c r="B83" s="4">
        <v>20</v>
      </c>
    </row>
    <row r="84" spans="1:2" x14ac:dyDescent="0.25">
      <c r="A84" s="2" t="s">
        <v>79</v>
      </c>
      <c r="B84" s="4">
        <v>20</v>
      </c>
    </row>
    <row r="85" spans="1:2" x14ac:dyDescent="0.25">
      <c r="A85" s="2" t="s">
        <v>79</v>
      </c>
      <c r="B85" s="4">
        <v>20</v>
      </c>
    </row>
    <row r="86" spans="1:2" x14ac:dyDescent="0.25">
      <c r="A86" s="2" t="s">
        <v>80</v>
      </c>
      <c r="B86" s="4">
        <v>193</v>
      </c>
    </row>
    <row r="87" spans="1:2" x14ac:dyDescent="0.25">
      <c r="A87" s="2" t="s">
        <v>81</v>
      </c>
      <c r="B87" s="4">
        <v>48</v>
      </c>
    </row>
    <row r="88" spans="1:2" x14ac:dyDescent="0.25">
      <c r="A88" s="2" t="s">
        <v>82</v>
      </c>
      <c r="B88" s="4">
        <v>15</v>
      </c>
    </row>
    <row r="89" spans="1:2" x14ac:dyDescent="0.25">
      <c r="A89" s="2" t="s">
        <v>83</v>
      </c>
      <c r="B89" s="4">
        <v>15</v>
      </c>
    </row>
    <row r="90" spans="1:2" x14ac:dyDescent="0.25">
      <c r="A90" s="2" t="s">
        <v>84</v>
      </c>
      <c r="B90" s="4">
        <v>4.05</v>
      </c>
    </row>
    <row r="91" spans="1:2" x14ac:dyDescent="0.25">
      <c r="A91" s="2" t="s">
        <v>85</v>
      </c>
      <c r="B91" s="4">
        <v>3.15</v>
      </c>
    </row>
    <row r="92" spans="1:2" x14ac:dyDescent="0.25">
      <c r="A92" s="2" t="s">
        <v>86</v>
      </c>
      <c r="B92" s="4">
        <v>3.15</v>
      </c>
    </row>
    <row r="93" spans="1:2" x14ac:dyDescent="0.25">
      <c r="A93" s="2" t="s">
        <v>87</v>
      </c>
      <c r="B93" s="4">
        <v>15.3</v>
      </c>
    </row>
    <row r="94" spans="1:2" x14ac:dyDescent="0.25">
      <c r="A94" s="2" t="s">
        <v>88</v>
      </c>
      <c r="B94" s="4">
        <v>15.3</v>
      </c>
    </row>
    <row r="95" spans="1:2" x14ac:dyDescent="0.25">
      <c r="A95" s="2" t="s">
        <v>89</v>
      </c>
      <c r="B95" s="4">
        <v>6</v>
      </c>
    </row>
    <row r="96" spans="1:2" x14ac:dyDescent="0.25">
      <c r="A96" s="2" t="s">
        <v>90</v>
      </c>
      <c r="B96" s="4">
        <v>30</v>
      </c>
    </row>
    <row r="97" spans="1:2" x14ac:dyDescent="0.25">
      <c r="A97" s="2" t="s">
        <v>91</v>
      </c>
      <c r="B97" s="4">
        <v>4.5</v>
      </c>
    </row>
    <row r="98" spans="1:2" x14ac:dyDescent="0.25">
      <c r="A98" s="2" t="s">
        <v>92</v>
      </c>
      <c r="B98" s="4" t="s">
        <v>93</v>
      </c>
    </row>
    <row r="99" spans="1:2" x14ac:dyDescent="0.25">
      <c r="A99" s="2" t="s">
        <v>94</v>
      </c>
      <c r="B99" s="4">
        <v>13.5</v>
      </c>
    </row>
    <row r="100" spans="1:2" x14ac:dyDescent="0.25">
      <c r="A100" s="2" t="s">
        <v>95</v>
      </c>
      <c r="B100" s="4">
        <v>13.5</v>
      </c>
    </row>
    <row r="101" spans="1:2" x14ac:dyDescent="0.25">
      <c r="A101" s="2" t="s">
        <v>96</v>
      </c>
      <c r="B101" s="4">
        <v>80</v>
      </c>
    </row>
    <row r="102" spans="1:2" x14ac:dyDescent="0.25">
      <c r="A102" s="2" t="s">
        <v>97</v>
      </c>
      <c r="B102" s="4">
        <v>80</v>
      </c>
    </row>
    <row r="103" spans="1:2" x14ac:dyDescent="0.25">
      <c r="A103" s="2" t="s">
        <v>98</v>
      </c>
      <c r="B103" s="4">
        <v>20</v>
      </c>
    </row>
    <row r="104" spans="1:2" x14ac:dyDescent="0.25">
      <c r="A104" s="2" t="s">
        <v>99</v>
      </c>
      <c r="B104" s="4">
        <v>20</v>
      </c>
    </row>
    <row r="105" spans="1:2" x14ac:dyDescent="0.25">
      <c r="A105" s="2" t="s">
        <v>100</v>
      </c>
      <c r="B105" s="4">
        <v>22</v>
      </c>
    </row>
    <row r="106" spans="1:2" x14ac:dyDescent="0.25">
      <c r="A106" s="2" t="s">
        <v>101</v>
      </c>
      <c r="B106" s="4">
        <v>2.7</v>
      </c>
    </row>
    <row r="107" spans="1:2" x14ac:dyDescent="0.25">
      <c r="A107" s="2" t="s">
        <v>102</v>
      </c>
      <c r="B107" s="4">
        <v>2.7</v>
      </c>
    </row>
    <row r="108" spans="1:2" x14ac:dyDescent="0.25">
      <c r="A108" s="2" t="s">
        <v>103</v>
      </c>
      <c r="B108" s="4">
        <v>7</v>
      </c>
    </row>
    <row r="109" spans="1:2" x14ac:dyDescent="0.25">
      <c r="A109" s="2" t="s">
        <v>104</v>
      </c>
      <c r="B109" s="4">
        <v>7</v>
      </c>
    </row>
    <row r="110" spans="1:2" x14ac:dyDescent="0.25">
      <c r="A110" s="2" t="s">
        <v>105</v>
      </c>
      <c r="B110" s="4">
        <v>7</v>
      </c>
    </row>
    <row r="111" spans="1:2" x14ac:dyDescent="0.25">
      <c r="A111" s="2" t="s">
        <v>106</v>
      </c>
      <c r="B111" s="4">
        <v>7.23</v>
      </c>
    </row>
    <row r="112" spans="1:2" x14ac:dyDescent="0.25">
      <c r="A112" s="2" t="s">
        <v>107</v>
      </c>
      <c r="B112" s="4">
        <v>7.23</v>
      </c>
    </row>
    <row r="113" spans="1:2" x14ac:dyDescent="0.25">
      <c r="A113" s="2" t="s">
        <v>108</v>
      </c>
      <c r="B113" s="4">
        <v>7.23</v>
      </c>
    </row>
    <row r="114" spans="1:2" x14ac:dyDescent="0.25">
      <c r="A114" s="2" t="s">
        <v>109</v>
      </c>
      <c r="B114" s="4">
        <v>36</v>
      </c>
    </row>
    <row r="115" spans="1:2" x14ac:dyDescent="0.25">
      <c r="A115" s="2" t="s">
        <v>110</v>
      </c>
      <c r="B115" s="4">
        <v>26.4</v>
      </c>
    </row>
    <row r="116" spans="1:2" x14ac:dyDescent="0.25">
      <c r="A116" s="2" t="s">
        <v>111</v>
      </c>
      <c r="B116" s="4">
        <v>13.15</v>
      </c>
    </row>
    <row r="117" spans="1:2" x14ac:dyDescent="0.25">
      <c r="A117" s="2" t="s">
        <v>112</v>
      </c>
      <c r="B117" s="4">
        <v>25</v>
      </c>
    </row>
    <row r="118" spans="1:2" x14ac:dyDescent="0.25">
      <c r="A118" s="2" t="s">
        <v>113</v>
      </c>
      <c r="B118" s="4">
        <v>26</v>
      </c>
    </row>
    <row r="119" spans="1:2" x14ac:dyDescent="0.25">
      <c r="A119" s="2" t="s">
        <v>114</v>
      </c>
      <c r="B119" s="4">
        <v>90</v>
      </c>
    </row>
    <row r="120" spans="1:2" x14ac:dyDescent="0.25">
      <c r="A120" s="2" t="s">
        <v>115</v>
      </c>
      <c r="B120" s="4">
        <v>90</v>
      </c>
    </row>
    <row r="121" spans="1:2" x14ac:dyDescent="0.25">
      <c r="A121" s="2" t="s">
        <v>116</v>
      </c>
      <c r="B121" s="4">
        <v>90</v>
      </c>
    </row>
    <row r="122" spans="1:2" x14ac:dyDescent="0.25">
      <c r="A122" s="2" t="s">
        <v>117</v>
      </c>
      <c r="B122" s="4">
        <v>90</v>
      </c>
    </row>
    <row r="123" spans="1:2" x14ac:dyDescent="0.25">
      <c r="A123" s="2" t="s">
        <v>118</v>
      </c>
      <c r="B123" s="4">
        <v>90</v>
      </c>
    </row>
    <row r="124" spans="1:2" x14ac:dyDescent="0.25">
      <c r="A124" s="2" t="s">
        <v>119</v>
      </c>
      <c r="B124" s="4">
        <v>90</v>
      </c>
    </row>
    <row r="125" spans="1:2" x14ac:dyDescent="0.25">
      <c r="A125" s="2" t="s">
        <v>120</v>
      </c>
      <c r="B125" s="4">
        <v>90</v>
      </c>
    </row>
    <row r="126" spans="1:2" x14ac:dyDescent="0.25">
      <c r="A126" s="2" t="s">
        <v>121</v>
      </c>
      <c r="B126" s="4">
        <v>90</v>
      </c>
    </row>
    <row r="127" spans="1:2" x14ac:dyDescent="0.25">
      <c r="A127" s="2" t="s">
        <v>122</v>
      </c>
      <c r="B127" s="4">
        <v>29</v>
      </c>
    </row>
    <row r="128" spans="1:2" x14ac:dyDescent="0.25">
      <c r="A128" s="2" t="s">
        <v>123</v>
      </c>
      <c r="B128" s="4">
        <v>25</v>
      </c>
    </row>
    <row r="129" spans="1:2" x14ac:dyDescent="0.25">
      <c r="A129" s="2" t="s">
        <v>124</v>
      </c>
      <c r="B129" s="4">
        <v>25</v>
      </c>
    </row>
    <row r="130" spans="1:2" x14ac:dyDescent="0.25">
      <c r="A130" s="2" t="s">
        <v>125</v>
      </c>
      <c r="B130" s="4">
        <v>20</v>
      </c>
    </row>
    <row r="131" spans="1:2" x14ac:dyDescent="0.25">
      <c r="A131" s="2" t="s">
        <v>126</v>
      </c>
      <c r="B131" s="4">
        <v>25</v>
      </c>
    </row>
    <row r="132" spans="1:2" x14ac:dyDescent="0.25">
      <c r="A132" s="2" t="s">
        <v>127</v>
      </c>
      <c r="B132" s="4">
        <v>25</v>
      </c>
    </row>
    <row r="133" spans="1:2" x14ac:dyDescent="0.25">
      <c r="A133" s="2" t="s">
        <v>128</v>
      </c>
      <c r="B133" s="4">
        <v>20</v>
      </c>
    </row>
    <row r="134" spans="1:2" x14ac:dyDescent="0.25">
      <c r="A134" s="2" t="s">
        <v>129</v>
      </c>
      <c r="B134" s="4">
        <v>20</v>
      </c>
    </row>
    <row r="135" spans="1:2" x14ac:dyDescent="0.25">
      <c r="A135" s="2" t="s">
        <v>130</v>
      </c>
      <c r="B135" s="4">
        <v>5</v>
      </c>
    </row>
    <row r="136" spans="1:2" x14ac:dyDescent="0.25">
      <c r="A136" s="2" t="s">
        <v>131</v>
      </c>
      <c r="B136" s="4">
        <v>5</v>
      </c>
    </row>
    <row r="137" spans="1:2" x14ac:dyDescent="0.25">
      <c r="A137" s="2" t="s">
        <v>132</v>
      </c>
      <c r="B137" s="4">
        <v>5</v>
      </c>
    </row>
    <row r="138" spans="1:2" x14ac:dyDescent="0.25">
      <c r="A138" s="2" t="s">
        <v>133</v>
      </c>
      <c r="B138" s="4">
        <v>209</v>
      </c>
    </row>
    <row r="139" spans="1:2" x14ac:dyDescent="0.25">
      <c r="A139" s="2" t="s">
        <v>134</v>
      </c>
      <c r="B139" s="4">
        <v>1025</v>
      </c>
    </row>
    <row r="140" spans="1:2" x14ac:dyDescent="0.25">
      <c r="A140" s="2" t="s">
        <v>135</v>
      </c>
      <c r="B140" s="4">
        <v>98</v>
      </c>
    </row>
    <row r="141" spans="1:2" x14ac:dyDescent="0.25">
      <c r="A141" s="2" t="s">
        <v>136</v>
      </c>
      <c r="B141" s="4">
        <v>42</v>
      </c>
    </row>
    <row r="142" spans="1:2" x14ac:dyDescent="0.25">
      <c r="A142" s="2" t="s">
        <v>137</v>
      </c>
      <c r="B142" s="4">
        <v>60</v>
      </c>
    </row>
    <row r="143" spans="1:2" x14ac:dyDescent="0.25">
      <c r="A143" s="2" t="s">
        <v>138</v>
      </c>
      <c r="B143" s="4">
        <v>28</v>
      </c>
    </row>
    <row r="144" spans="1:2" x14ac:dyDescent="0.25">
      <c r="A144" s="2" t="s">
        <v>139</v>
      </c>
      <c r="B144" s="4">
        <v>26</v>
      </c>
    </row>
    <row r="145" spans="1:2" x14ac:dyDescent="0.25">
      <c r="A145" s="2" t="s">
        <v>140</v>
      </c>
      <c r="B145" s="4">
        <v>6</v>
      </c>
    </row>
    <row r="146" spans="1:2" x14ac:dyDescent="0.25">
      <c r="A146" s="2" t="s">
        <v>140</v>
      </c>
      <c r="B146" s="4">
        <v>6</v>
      </c>
    </row>
    <row r="147" spans="1:2" x14ac:dyDescent="0.25">
      <c r="A147" s="2" t="s">
        <v>141</v>
      </c>
      <c r="B147" s="4">
        <v>25</v>
      </c>
    </row>
    <row r="148" spans="1:2" x14ac:dyDescent="0.25">
      <c r="A148" s="2" t="s">
        <v>142</v>
      </c>
      <c r="B148" s="4">
        <v>22</v>
      </c>
    </row>
    <row r="149" spans="1:2" x14ac:dyDescent="0.25">
      <c r="A149" s="2" t="s">
        <v>143</v>
      </c>
      <c r="B149" s="4">
        <v>8</v>
      </c>
    </row>
    <row r="150" spans="1:2" x14ac:dyDescent="0.25">
      <c r="A150" s="2" t="s">
        <v>144</v>
      </c>
      <c r="B150" s="4">
        <v>21.6</v>
      </c>
    </row>
    <row r="151" spans="1:2" x14ac:dyDescent="0.25">
      <c r="A151" s="2" t="s">
        <v>145</v>
      </c>
      <c r="B151" s="4">
        <v>30</v>
      </c>
    </row>
    <row r="152" spans="1:2" x14ac:dyDescent="0.25">
      <c r="A152" s="2" t="s">
        <v>146</v>
      </c>
      <c r="B152" s="4">
        <v>20</v>
      </c>
    </row>
    <row r="153" spans="1:2" x14ac:dyDescent="0.25">
      <c r="A153" s="2" t="s">
        <v>147</v>
      </c>
      <c r="B153" s="4">
        <v>20</v>
      </c>
    </row>
    <row r="154" spans="1:2" x14ac:dyDescent="0.25">
      <c r="A154" s="2" t="s">
        <v>148</v>
      </c>
      <c r="B154" s="4">
        <v>6</v>
      </c>
    </row>
    <row r="155" spans="1:2" x14ac:dyDescent="0.25">
      <c r="A155" s="2" t="s">
        <v>149</v>
      </c>
      <c r="B155" s="4">
        <v>20</v>
      </c>
    </row>
    <row r="156" spans="1:2" x14ac:dyDescent="0.25">
      <c r="A156" s="2" t="s">
        <v>150</v>
      </c>
      <c r="B156" s="4">
        <v>18</v>
      </c>
    </row>
    <row r="157" spans="1:2" x14ac:dyDescent="0.25">
      <c r="A157" s="2" t="s">
        <v>151</v>
      </c>
      <c r="B157" s="4">
        <v>18</v>
      </c>
    </row>
    <row r="158" spans="1:2" x14ac:dyDescent="0.25">
      <c r="A158" s="2" t="s">
        <v>152</v>
      </c>
      <c r="B158" s="4">
        <v>17</v>
      </c>
    </row>
    <row r="159" spans="1:2" x14ac:dyDescent="0.25">
      <c r="A159" s="2" t="s">
        <v>153</v>
      </c>
      <c r="B159" s="4">
        <v>17</v>
      </c>
    </row>
    <row r="160" spans="1:2" x14ac:dyDescent="0.25">
      <c r="A160" s="2" t="s">
        <v>154</v>
      </c>
      <c r="B160" s="4">
        <v>35</v>
      </c>
    </row>
    <row r="161" spans="1:2" x14ac:dyDescent="0.25">
      <c r="A161" s="2" t="s">
        <v>155</v>
      </c>
      <c r="B161" s="4">
        <v>7.23</v>
      </c>
    </row>
    <row r="162" spans="1:2" x14ac:dyDescent="0.25">
      <c r="A162" s="2" t="s">
        <v>156</v>
      </c>
      <c r="B162" s="4">
        <v>19.64</v>
      </c>
    </row>
    <row r="163" spans="1:2" x14ac:dyDescent="0.25">
      <c r="A163" s="2" t="s">
        <v>157</v>
      </c>
      <c r="B163" s="4">
        <v>19.64</v>
      </c>
    </row>
    <row r="164" spans="1:2" x14ac:dyDescent="0.25">
      <c r="A164" s="2" t="s">
        <v>158</v>
      </c>
      <c r="B164" s="4">
        <v>45</v>
      </c>
    </row>
    <row r="165" spans="1:2" x14ac:dyDescent="0.25">
      <c r="A165" s="2" t="s">
        <v>159</v>
      </c>
      <c r="B165" s="4">
        <v>104</v>
      </c>
    </row>
    <row r="166" spans="1:2" x14ac:dyDescent="0.25">
      <c r="A166" s="2" t="s">
        <v>160</v>
      </c>
      <c r="B166" s="4">
        <v>5</v>
      </c>
    </row>
    <row r="167" spans="1:2" x14ac:dyDescent="0.25">
      <c r="A167" s="2" t="s">
        <v>161</v>
      </c>
      <c r="B167" s="4">
        <v>12.7</v>
      </c>
    </row>
    <row r="168" spans="1:2" x14ac:dyDescent="0.25">
      <c r="A168" s="2" t="s">
        <v>162</v>
      </c>
      <c r="B168" s="4">
        <v>8</v>
      </c>
    </row>
    <row r="169" spans="1:2" x14ac:dyDescent="0.25">
      <c r="A169" s="2" t="s">
        <v>163</v>
      </c>
      <c r="B169" s="4">
        <v>10.16</v>
      </c>
    </row>
    <row r="170" spans="1:2" x14ac:dyDescent="0.25">
      <c r="A170" s="2" t="s">
        <v>164</v>
      </c>
      <c r="B170" s="4">
        <v>20</v>
      </c>
    </row>
    <row r="171" spans="1:2" x14ac:dyDescent="0.25">
      <c r="A171" s="2" t="s">
        <v>165</v>
      </c>
      <c r="B171" s="4">
        <v>20</v>
      </c>
    </row>
    <row r="172" spans="1:2" x14ac:dyDescent="0.25">
      <c r="A172" s="2" t="s">
        <v>166</v>
      </c>
      <c r="B172" s="4">
        <v>26</v>
      </c>
    </row>
    <row r="173" spans="1:2" x14ac:dyDescent="0.25">
      <c r="A173" s="2" t="s">
        <v>167</v>
      </c>
      <c r="B173" s="4">
        <v>3.15</v>
      </c>
    </row>
    <row r="174" spans="1:2" x14ac:dyDescent="0.25">
      <c r="A174" s="2" t="s">
        <v>168</v>
      </c>
      <c r="B174" s="4">
        <v>45</v>
      </c>
    </row>
    <row r="175" spans="1:2" x14ac:dyDescent="0.25">
      <c r="A175" s="2" t="s">
        <v>169</v>
      </c>
      <c r="B175" s="4">
        <v>45</v>
      </c>
    </row>
    <row r="176" spans="1:2" x14ac:dyDescent="0.25">
      <c r="A176" s="2" t="s">
        <v>170</v>
      </c>
      <c r="B176" s="4">
        <v>2.7</v>
      </c>
    </row>
    <row r="177" spans="1:2" x14ac:dyDescent="0.25">
      <c r="A177" s="2" t="s">
        <v>171</v>
      </c>
      <c r="B177" s="4">
        <v>2.7</v>
      </c>
    </row>
    <row r="178" spans="1:2" x14ac:dyDescent="0.25">
      <c r="A178" s="2" t="s">
        <v>172</v>
      </c>
      <c r="B178" s="4">
        <v>30</v>
      </c>
    </row>
    <row r="179" spans="1:2" x14ac:dyDescent="0.25">
      <c r="A179" s="2" t="s">
        <v>172</v>
      </c>
      <c r="B179" s="4">
        <v>30</v>
      </c>
    </row>
    <row r="180" spans="1:2" x14ac:dyDescent="0.25">
      <c r="A180" s="2" t="s">
        <v>173</v>
      </c>
      <c r="B180" s="4">
        <v>17</v>
      </c>
    </row>
    <row r="181" spans="1:2" x14ac:dyDescent="0.25">
      <c r="A181" s="2" t="s">
        <v>174</v>
      </c>
      <c r="B181" s="4">
        <v>19.850000000000001</v>
      </c>
    </row>
    <row r="182" spans="1:2" x14ac:dyDescent="0.25">
      <c r="A182" s="2" t="s">
        <v>175</v>
      </c>
      <c r="B182" s="4">
        <v>19.850000000000001</v>
      </c>
    </row>
    <row r="183" spans="1:2" x14ac:dyDescent="0.25">
      <c r="A183" s="2" t="s">
        <v>176</v>
      </c>
      <c r="B183" s="4">
        <v>19.850000000000001</v>
      </c>
    </row>
    <row r="184" spans="1:2" x14ac:dyDescent="0.25">
      <c r="A184" s="2" t="s">
        <v>177</v>
      </c>
      <c r="B184" s="4">
        <v>8</v>
      </c>
    </row>
    <row r="185" spans="1:2" x14ac:dyDescent="0.25">
      <c r="A185" s="2" t="s">
        <v>178</v>
      </c>
      <c r="B185" s="4">
        <v>45</v>
      </c>
    </row>
    <row r="186" spans="1:2" x14ac:dyDescent="0.25">
      <c r="A186" s="2" t="s">
        <v>179</v>
      </c>
      <c r="B186" s="4">
        <v>6</v>
      </c>
    </row>
    <row r="187" spans="1:2" x14ac:dyDescent="0.25">
      <c r="A187" s="2" t="s">
        <v>179</v>
      </c>
      <c r="B187" s="4">
        <v>6</v>
      </c>
    </row>
    <row r="188" spans="1:2" x14ac:dyDescent="0.25">
      <c r="A188" s="2" t="s">
        <v>180</v>
      </c>
      <c r="B188" s="4">
        <v>13.5</v>
      </c>
    </row>
    <row r="189" spans="1:2" x14ac:dyDescent="0.25">
      <c r="A189" s="2" t="s">
        <v>181</v>
      </c>
      <c r="B189" s="4">
        <v>13.5</v>
      </c>
    </row>
    <row r="190" spans="1:2" x14ac:dyDescent="0.25">
      <c r="A190" s="2" t="s">
        <v>182</v>
      </c>
      <c r="B190" s="4">
        <v>13.5</v>
      </c>
    </row>
    <row r="191" spans="1:2" x14ac:dyDescent="0.25">
      <c r="A191" s="2" t="s">
        <v>183</v>
      </c>
      <c r="B191" s="4">
        <v>17</v>
      </c>
    </row>
    <row r="192" spans="1:2" x14ac:dyDescent="0.25">
      <c r="A192" s="2" t="s">
        <v>184</v>
      </c>
      <c r="B192" s="4">
        <v>5.4</v>
      </c>
    </row>
    <row r="193" spans="1:2" x14ac:dyDescent="0.25">
      <c r="A193" s="2" t="s">
        <v>185</v>
      </c>
      <c r="B193" s="4">
        <v>5.4</v>
      </c>
    </row>
    <row r="194" spans="1:2" x14ac:dyDescent="0.25">
      <c r="A194" s="2" t="s">
        <v>185</v>
      </c>
      <c r="B194" s="4">
        <v>5.5</v>
      </c>
    </row>
    <row r="195" spans="1:2" x14ac:dyDescent="0.25">
      <c r="A195" s="2" t="s">
        <v>185</v>
      </c>
      <c r="B195" s="4">
        <v>5.5</v>
      </c>
    </row>
    <row r="196" spans="1:2" x14ac:dyDescent="0.25">
      <c r="A196" s="2" t="s">
        <v>186</v>
      </c>
      <c r="B196" s="4">
        <v>30</v>
      </c>
    </row>
    <row r="197" spans="1:2" x14ac:dyDescent="0.25">
      <c r="A197" s="2" t="s">
        <v>187</v>
      </c>
      <c r="B197" s="4">
        <v>5</v>
      </c>
    </row>
    <row r="198" spans="1:2" x14ac:dyDescent="0.25">
      <c r="A198" s="2" t="s">
        <v>188</v>
      </c>
      <c r="B198" s="4">
        <v>20</v>
      </c>
    </row>
    <row r="199" spans="1:2" x14ac:dyDescent="0.25">
      <c r="A199" s="2" t="s">
        <v>189</v>
      </c>
      <c r="B199" s="4">
        <v>23</v>
      </c>
    </row>
    <row r="200" spans="1:2" x14ac:dyDescent="0.25">
      <c r="A200" s="2" t="s">
        <v>190</v>
      </c>
      <c r="B200" s="4">
        <v>27</v>
      </c>
    </row>
    <row r="201" spans="1:2" x14ac:dyDescent="0.25">
      <c r="A201" s="2" t="s">
        <v>191</v>
      </c>
      <c r="B201" s="4">
        <v>22</v>
      </c>
    </row>
    <row r="202" spans="1:2" x14ac:dyDescent="0.25">
      <c r="A202" s="2" t="s">
        <v>192</v>
      </c>
      <c r="B202" s="4">
        <v>11.25</v>
      </c>
    </row>
    <row r="203" spans="1:2" x14ac:dyDescent="0.25">
      <c r="A203" s="2" t="s">
        <v>193</v>
      </c>
      <c r="B203" s="4">
        <v>30</v>
      </c>
    </row>
    <row r="204" spans="1:2" x14ac:dyDescent="0.25">
      <c r="A204" s="2" t="s">
        <v>194</v>
      </c>
      <c r="B204" s="4">
        <v>34</v>
      </c>
    </row>
    <row r="205" spans="1:2" x14ac:dyDescent="0.25">
      <c r="A205" s="2" t="s">
        <v>195</v>
      </c>
      <c r="B205" s="4">
        <v>11.25</v>
      </c>
    </row>
    <row r="206" spans="1:2" x14ac:dyDescent="0.25">
      <c r="A206" s="2" t="s">
        <v>196</v>
      </c>
      <c r="B206" s="4">
        <v>11.25</v>
      </c>
    </row>
    <row r="207" spans="1:2" x14ac:dyDescent="0.25">
      <c r="A207" s="2" t="s">
        <v>197</v>
      </c>
      <c r="B207" s="4">
        <v>21.9</v>
      </c>
    </row>
    <row r="208" spans="1:2" x14ac:dyDescent="0.25">
      <c r="A208" s="2" t="s">
        <v>198</v>
      </c>
      <c r="B208" s="4">
        <v>21.9</v>
      </c>
    </row>
    <row r="209" spans="1:2" x14ac:dyDescent="0.25">
      <c r="A209" s="2" t="s">
        <v>199</v>
      </c>
      <c r="B209" s="4">
        <v>45</v>
      </c>
    </row>
    <row r="210" spans="1:2" x14ac:dyDescent="0.25">
      <c r="A210" s="2" t="s">
        <v>200</v>
      </c>
      <c r="B210" s="4">
        <v>45</v>
      </c>
    </row>
    <row r="211" spans="1:2" x14ac:dyDescent="0.25">
      <c r="A211" s="2" t="s">
        <v>201</v>
      </c>
      <c r="B211" s="4">
        <v>25</v>
      </c>
    </row>
    <row r="212" spans="1:2" x14ac:dyDescent="0.25">
      <c r="A212" s="2" t="s">
        <v>202</v>
      </c>
      <c r="B212" s="4">
        <v>25</v>
      </c>
    </row>
    <row r="213" spans="1:2" x14ac:dyDescent="0.25">
      <c r="A213" s="2" t="s">
        <v>203</v>
      </c>
      <c r="B213" s="4">
        <v>230</v>
      </c>
    </row>
    <row r="214" spans="1:2" x14ac:dyDescent="0.25">
      <c r="A214" s="2" t="s">
        <v>204</v>
      </c>
      <c r="B214" s="4">
        <v>160</v>
      </c>
    </row>
    <row r="215" spans="1:2" x14ac:dyDescent="0.25">
      <c r="A215" s="2" t="s">
        <v>205</v>
      </c>
      <c r="B215" s="4">
        <v>28</v>
      </c>
    </row>
    <row r="216" spans="1:2" x14ac:dyDescent="0.25">
      <c r="A216" s="2" t="s">
        <v>206</v>
      </c>
      <c r="B216" s="4">
        <v>28</v>
      </c>
    </row>
    <row r="217" spans="1:2" x14ac:dyDescent="0.25">
      <c r="A217" s="2" t="s">
        <v>207</v>
      </c>
      <c r="B217" s="4">
        <v>60</v>
      </c>
    </row>
    <row r="218" spans="1:2" x14ac:dyDescent="0.25">
      <c r="A218" s="2" t="s">
        <v>208</v>
      </c>
      <c r="B218" s="4">
        <v>10.016</v>
      </c>
    </row>
    <row r="219" spans="1:2" x14ac:dyDescent="0.25">
      <c r="A219" s="2" t="s">
        <v>209</v>
      </c>
      <c r="B219" s="4">
        <v>30</v>
      </c>
    </row>
    <row r="220" spans="1:2" x14ac:dyDescent="0.25">
      <c r="A220" s="2" t="s">
        <v>210</v>
      </c>
      <c r="B220" s="4">
        <v>25</v>
      </c>
    </row>
    <row r="221" spans="1:2" x14ac:dyDescent="0.25">
      <c r="A221" s="2" t="s">
        <v>211</v>
      </c>
      <c r="B221" s="4">
        <v>33</v>
      </c>
    </row>
    <row r="222" spans="1:2" x14ac:dyDescent="0.25">
      <c r="A222" s="2" t="s">
        <v>212</v>
      </c>
      <c r="B222" s="4">
        <v>25</v>
      </c>
    </row>
    <row r="223" spans="1:2" x14ac:dyDescent="0.25">
      <c r="A223" s="2" t="s">
        <v>213</v>
      </c>
      <c r="B223" s="4">
        <v>33</v>
      </c>
    </row>
    <row r="224" spans="1:2" x14ac:dyDescent="0.25">
      <c r="A224" s="2" t="s">
        <v>214</v>
      </c>
      <c r="B224" s="4">
        <v>15</v>
      </c>
    </row>
    <row r="225" spans="1:2" x14ac:dyDescent="0.25">
      <c r="A225" s="2" t="s">
        <v>215</v>
      </c>
      <c r="B225" s="4">
        <v>15</v>
      </c>
    </row>
    <row r="226" spans="1:2" x14ac:dyDescent="0.25">
      <c r="A226" s="2" t="s">
        <v>216</v>
      </c>
      <c r="B226" s="4">
        <v>15</v>
      </c>
    </row>
    <row r="227" spans="1:2" x14ac:dyDescent="0.25">
      <c r="A227" s="2" t="s">
        <v>217</v>
      </c>
      <c r="B227" s="4">
        <v>15</v>
      </c>
    </row>
    <row r="228" spans="1:2" x14ac:dyDescent="0.25">
      <c r="A228" s="2" t="s">
        <v>218</v>
      </c>
      <c r="B228" s="4">
        <v>11.05</v>
      </c>
    </row>
    <row r="229" spans="1:2" x14ac:dyDescent="0.25">
      <c r="A229" s="2" t="s">
        <v>219</v>
      </c>
      <c r="B229" s="4">
        <v>11.05</v>
      </c>
    </row>
    <row r="230" spans="1:2" x14ac:dyDescent="0.25">
      <c r="A230" s="2" t="s">
        <v>220</v>
      </c>
      <c r="B230" s="4">
        <v>210</v>
      </c>
    </row>
    <row r="231" spans="1:2" x14ac:dyDescent="0.25">
      <c r="A231" s="2" t="s">
        <v>221</v>
      </c>
      <c r="B231" s="4">
        <v>15</v>
      </c>
    </row>
    <row r="232" spans="1:2" x14ac:dyDescent="0.25">
      <c r="A232" s="2" t="s">
        <v>222</v>
      </c>
      <c r="B232" s="4">
        <v>15</v>
      </c>
    </row>
    <row r="233" spans="1:2" x14ac:dyDescent="0.25">
      <c r="A233" s="2" t="s">
        <v>223</v>
      </c>
      <c r="B233" s="4">
        <v>10.16</v>
      </c>
    </row>
    <row r="234" spans="1:2" x14ac:dyDescent="0.25">
      <c r="A234" s="2" t="s">
        <v>224</v>
      </c>
      <c r="B234" s="4">
        <v>13</v>
      </c>
    </row>
    <row r="235" spans="1:2" x14ac:dyDescent="0.25">
      <c r="A235" s="2" t="s">
        <v>225</v>
      </c>
      <c r="B235" s="4">
        <v>8</v>
      </c>
    </row>
    <row r="236" spans="1:2" x14ac:dyDescent="0.25">
      <c r="A236" s="2" t="s">
        <v>226</v>
      </c>
      <c r="B236" s="4">
        <v>7</v>
      </c>
    </row>
    <row r="237" spans="1:2" x14ac:dyDescent="0.25">
      <c r="A237" s="2" t="s">
        <v>227</v>
      </c>
      <c r="B237" s="4">
        <v>22</v>
      </c>
    </row>
    <row r="238" spans="1:2" x14ac:dyDescent="0.25">
      <c r="A238" s="2" t="s">
        <v>228</v>
      </c>
      <c r="B238" s="4">
        <v>18</v>
      </c>
    </row>
    <row r="239" spans="1:2" x14ac:dyDescent="0.25">
      <c r="A239" s="2" t="s">
        <v>229</v>
      </c>
      <c r="B239" s="4">
        <v>38</v>
      </c>
    </row>
    <row r="240" spans="1:2" x14ac:dyDescent="0.25">
      <c r="A240" s="2" t="s">
        <v>230</v>
      </c>
      <c r="B240" s="4">
        <v>65</v>
      </c>
    </row>
    <row r="241" spans="1:2" x14ac:dyDescent="0.25">
      <c r="A241" s="2" t="s">
        <v>231</v>
      </c>
      <c r="B241" s="4">
        <v>65</v>
      </c>
    </row>
    <row r="242" spans="1:2" x14ac:dyDescent="0.25">
      <c r="A242" s="2" t="s">
        <v>232</v>
      </c>
      <c r="B242" s="4">
        <v>65</v>
      </c>
    </row>
    <row r="243" spans="1:2" x14ac:dyDescent="0.25">
      <c r="A243" s="2" t="s">
        <v>233</v>
      </c>
      <c r="B243" s="4">
        <v>37</v>
      </c>
    </row>
    <row r="244" spans="1:2" x14ac:dyDescent="0.25">
      <c r="A244" s="2" t="s">
        <v>234</v>
      </c>
      <c r="B244" s="4">
        <v>23</v>
      </c>
    </row>
    <row r="245" spans="1:2" x14ac:dyDescent="0.25">
      <c r="A245" s="2" t="s">
        <v>235</v>
      </c>
      <c r="B245" s="4">
        <v>23</v>
      </c>
    </row>
    <row r="246" spans="1:2" x14ac:dyDescent="0.25">
      <c r="A246" s="2" t="s">
        <v>236</v>
      </c>
      <c r="B246" s="4">
        <v>13.5</v>
      </c>
    </row>
    <row r="247" spans="1:2" x14ac:dyDescent="0.25">
      <c r="A247" s="2" t="s">
        <v>237</v>
      </c>
      <c r="B247" s="4">
        <v>3.8</v>
      </c>
    </row>
    <row r="248" spans="1:2" x14ac:dyDescent="0.25">
      <c r="A248" s="2" t="s">
        <v>238</v>
      </c>
      <c r="B248" s="4">
        <v>16</v>
      </c>
    </row>
    <row r="249" spans="1:2" x14ac:dyDescent="0.25">
      <c r="A249" s="2" t="s">
        <v>239</v>
      </c>
      <c r="B249" s="4">
        <v>16</v>
      </c>
    </row>
    <row r="250" spans="1:2" x14ac:dyDescent="0.25">
      <c r="A250" s="2" t="s">
        <v>240</v>
      </c>
      <c r="B250" s="4">
        <v>16</v>
      </c>
    </row>
    <row r="251" spans="1:2" x14ac:dyDescent="0.25">
      <c r="A251" s="2" t="s">
        <v>241</v>
      </c>
      <c r="B251" s="4">
        <v>16</v>
      </c>
    </row>
    <row r="252" spans="1:2" x14ac:dyDescent="0.25">
      <c r="A252" s="2" t="s">
        <v>242</v>
      </c>
      <c r="B252" s="4">
        <v>19</v>
      </c>
    </row>
    <row r="253" spans="1:2" x14ac:dyDescent="0.25">
      <c r="A253" s="2" t="s">
        <v>243</v>
      </c>
      <c r="B253" s="4">
        <v>19</v>
      </c>
    </row>
    <row r="254" spans="1:2" x14ac:dyDescent="0.25">
      <c r="A254" s="2" t="s">
        <v>244</v>
      </c>
      <c r="B254" s="4">
        <v>256.5</v>
      </c>
    </row>
    <row r="255" spans="1:2" x14ac:dyDescent="0.25">
      <c r="A255" s="2" t="s">
        <v>245</v>
      </c>
      <c r="B255" s="4">
        <v>256.5</v>
      </c>
    </row>
    <row r="256" spans="1:2" x14ac:dyDescent="0.25">
      <c r="A256" s="2" t="s">
        <v>246</v>
      </c>
      <c r="B256" s="4">
        <v>49</v>
      </c>
    </row>
    <row r="257" spans="1:2" x14ac:dyDescent="0.25">
      <c r="A257" s="2" t="s">
        <v>247</v>
      </c>
      <c r="B257" s="4">
        <v>49</v>
      </c>
    </row>
    <row r="258" spans="1:2" x14ac:dyDescent="0.25">
      <c r="A258" s="2" t="s">
        <v>248</v>
      </c>
      <c r="B258" s="4">
        <v>49</v>
      </c>
    </row>
    <row r="259" spans="1:2" x14ac:dyDescent="0.25">
      <c r="A259" s="2" t="s">
        <v>249</v>
      </c>
      <c r="B259" s="4">
        <v>49</v>
      </c>
    </row>
    <row r="260" spans="1:2" x14ac:dyDescent="0.25">
      <c r="A260" s="2" t="s">
        <v>250</v>
      </c>
      <c r="B260" s="4">
        <v>170</v>
      </c>
    </row>
    <row r="261" spans="1:2" x14ac:dyDescent="0.25">
      <c r="A261" s="2" t="s">
        <v>251</v>
      </c>
      <c r="B261" s="4">
        <v>40</v>
      </c>
    </row>
    <row r="262" spans="1:2" x14ac:dyDescent="0.25">
      <c r="A262" s="2" t="s">
        <v>252</v>
      </c>
      <c r="B262" s="4">
        <v>54</v>
      </c>
    </row>
    <row r="263" spans="1:2" x14ac:dyDescent="0.25">
      <c r="A263" s="2" t="s">
        <v>253</v>
      </c>
      <c r="B263" s="4">
        <v>48</v>
      </c>
    </row>
    <row r="264" spans="1:2" x14ac:dyDescent="0.25">
      <c r="A264" s="2" t="s">
        <v>254</v>
      </c>
      <c r="B264" s="4">
        <v>50</v>
      </c>
    </row>
    <row r="265" spans="1:2" x14ac:dyDescent="0.25">
      <c r="A265" s="2" t="s">
        <v>255</v>
      </c>
      <c r="B265" s="4">
        <v>42</v>
      </c>
    </row>
    <row r="266" spans="1:2" x14ac:dyDescent="0.25">
      <c r="A266" s="2" t="s">
        <v>256</v>
      </c>
      <c r="B266" s="4">
        <v>42</v>
      </c>
    </row>
    <row r="267" spans="1:2" x14ac:dyDescent="0.25">
      <c r="A267" s="2" t="s">
        <v>257</v>
      </c>
      <c r="B267" s="4">
        <v>42</v>
      </c>
    </row>
    <row r="268" spans="1:2" x14ac:dyDescent="0.25">
      <c r="A268" s="2" t="s">
        <v>258</v>
      </c>
      <c r="B268" s="4">
        <v>42</v>
      </c>
    </row>
    <row r="269" spans="1:2" x14ac:dyDescent="0.25">
      <c r="A269" s="2" t="s">
        <v>259</v>
      </c>
      <c r="B269" s="4">
        <v>120</v>
      </c>
    </row>
    <row r="270" spans="1:2" x14ac:dyDescent="0.25">
      <c r="A270" s="2" t="s">
        <v>260</v>
      </c>
      <c r="B270" s="4">
        <v>5</v>
      </c>
    </row>
    <row r="271" spans="1:2" x14ac:dyDescent="0.25">
      <c r="A271" s="2" t="s">
        <v>260</v>
      </c>
      <c r="B271" s="4">
        <v>5</v>
      </c>
    </row>
    <row r="272" spans="1:2" x14ac:dyDescent="0.25">
      <c r="A272" s="2" t="s">
        <v>261</v>
      </c>
      <c r="B272" s="4">
        <v>3</v>
      </c>
    </row>
    <row r="273" spans="1:2" x14ac:dyDescent="0.25">
      <c r="A273" s="2" t="s">
        <v>262</v>
      </c>
      <c r="B273" s="4">
        <v>3</v>
      </c>
    </row>
    <row r="274" spans="1:2" x14ac:dyDescent="0.25">
      <c r="A274" s="2" t="s">
        <v>263</v>
      </c>
      <c r="B274" s="4">
        <v>15.03</v>
      </c>
    </row>
    <row r="275" spans="1:2" x14ac:dyDescent="0.25">
      <c r="A275" s="2" t="s">
        <v>264</v>
      </c>
      <c r="B275" s="4">
        <v>15.03</v>
      </c>
    </row>
    <row r="276" spans="1:2" x14ac:dyDescent="0.25">
      <c r="A276" s="2" t="s">
        <v>265</v>
      </c>
      <c r="B276" s="4">
        <v>15.03</v>
      </c>
    </row>
    <row r="277" spans="1:2" x14ac:dyDescent="0.25">
      <c r="A277" s="2" t="s">
        <v>266</v>
      </c>
      <c r="B277" s="4">
        <v>15</v>
      </c>
    </row>
    <row r="278" spans="1:2" x14ac:dyDescent="0.25">
      <c r="A278" s="2" t="s">
        <v>267</v>
      </c>
      <c r="B278" s="4">
        <v>7</v>
      </c>
    </row>
    <row r="279" spans="1:2" x14ac:dyDescent="0.25">
      <c r="A279" s="2" t="s">
        <v>268</v>
      </c>
      <c r="B279" s="4">
        <v>21</v>
      </c>
    </row>
    <row r="280" spans="1:2" x14ac:dyDescent="0.25">
      <c r="A280" s="2" t="s">
        <v>269</v>
      </c>
      <c r="B280" s="4">
        <v>21</v>
      </c>
    </row>
    <row r="281" spans="1:2" x14ac:dyDescent="0.25">
      <c r="A281" s="2" t="s">
        <v>270</v>
      </c>
      <c r="B281" s="4">
        <v>4</v>
      </c>
    </row>
    <row r="282" spans="1:2" x14ac:dyDescent="0.25">
      <c r="A282" s="2" t="s">
        <v>271</v>
      </c>
      <c r="B282" s="4">
        <v>3.8</v>
      </c>
    </row>
    <row r="283" spans="1:2" x14ac:dyDescent="0.25">
      <c r="A283" s="2" t="s">
        <v>272</v>
      </c>
      <c r="B283" s="4">
        <v>3.8</v>
      </c>
    </row>
    <row r="284" spans="1:2" x14ac:dyDescent="0.25">
      <c r="A284" s="2" t="s">
        <v>273</v>
      </c>
      <c r="B284" s="4">
        <v>3.8</v>
      </c>
    </row>
    <row r="285" spans="1:2" x14ac:dyDescent="0.25">
      <c r="A285" s="2" t="s">
        <v>274</v>
      </c>
      <c r="B285" s="4">
        <v>3.8</v>
      </c>
    </row>
    <row r="286" spans="1:2" x14ac:dyDescent="0.25">
      <c r="A286" s="2" t="s">
        <v>275</v>
      </c>
      <c r="B286" s="4">
        <v>3.8</v>
      </c>
    </row>
    <row r="287" spans="1:2" x14ac:dyDescent="0.25">
      <c r="A287" s="2" t="s">
        <v>276</v>
      </c>
      <c r="B287" s="4">
        <v>3.8</v>
      </c>
    </row>
    <row r="288" spans="1:2" x14ac:dyDescent="0.25">
      <c r="A288" s="2" t="s">
        <v>277</v>
      </c>
      <c r="B288" s="4">
        <v>3.8</v>
      </c>
    </row>
    <row r="289" spans="1:2" x14ac:dyDescent="0.25">
      <c r="A289" s="2" t="s">
        <v>278</v>
      </c>
      <c r="B289" s="4">
        <v>3.6</v>
      </c>
    </row>
    <row r="290" spans="1:2" x14ac:dyDescent="0.25">
      <c r="A290" s="2" t="s">
        <v>279</v>
      </c>
      <c r="B290" s="4">
        <v>16</v>
      </c>
    </row>
    <row r="291" spans="1:2" x14ac:dyDescent="0.25">
      <c r="A291" s="2" t="s">
        <v>280</v>
      </c>
      <c r="B291" s="4">
        <v>16</v>
      </c>
    </row>
    <row r="292" spans="1:2" x14ac:dyDescent="0.25">
      <c r="A292" s="2" t="s">
        <v>281</v>
      </c>
      <c r="B292" s="4">
        <v>3.5</v>
      </c>
    </row>
    <row r="293" spans="1:2" x14ac:dyDescent="0.25">
      <c r="A293" s="2" t="s">
        <v>282</v>
      </c>
      <c r="B293" s="4">
        <v>80</v>
      </c>
    </row>
    <row r="294" spans="1:2" x14ac:dyDescent="0.25">
      <c r="A294" s="2" t="s">
        <v>283</v>
      </c>
      <c r="B294" s="4">
        <v>40</v>
      </c>
    </row>
    <row r="295" spans="1:2" x14ac:dyDescent="0.25">
      <c r="A295" s="2" t="s">
        <v>284</v>
      </c>
      <c r="B295" s="4">
        <v>4.51</v>
      </c>
    </row>
    <row r="296" spans="1:2" x14ac:dyDescent="0.25">
      <c r="A296" s="2" t="s">
        <v>284</v>
      </c>
      <c r="B296" s="4">
        <v>4.51</v>
      </c>
    </row>
    <row r="297" spans="1:2" x14ac:dyDescent="0.25">
      <c r="A297" s="2" t="s">
        <v>285</v>
      </c>
      <c r="B297" s="4">
        <v>4.51</v>
      </c>
    </row>
    <row r="298" spans="1:2" x14ac:dyDescent="0.25">
      <c r="A298" s="2" t="s">
        <v>286</v>
      </c>
      <c r="B298" s="4">
        <v>47</v>
      </c>
    </row>
    <row r="299" spans="1:2" x14ac:dyDescent="0.25">
      <c r="A299" s="2" t="s">
        <v>287</v>
      </c>
      <c r="B299" s="4">
        <v>3</v>
      </c>
    </row>
    <row r="300" spans="1:2" x14ac:dyDescent="0.25">
      <c r="A300" s="2" t="s">
        <v>288</v>
      </c>
      <c r="B300" s="4">
        <v>25</v>
      </c>
    </row>
    <row r="301" spans="1:2" x14ac:dyDescent="0.25">
      <c r="A301" s="2" t="s">
        <v>289</v>
      </c>
      <c r="B301" s="4">
        <v>28</v>
      </c>
    </row>
    <row r="302" spans="1:2" x14ac:dyDescent="0.25">
      <c r="A302" s="2" t="s">
        <v>290</v>
      </c>
      <c r="B302" s="4">
        <v>14</v>
      </c>
    </row>
    <row r="303" spans="1:2" x14ac:dyDescent="0.25">
      <c r="A303" s="2" t="s">
        <v>291</v>
      </c>
      <c r="B303" s="4">
        <v>14</v>
      </c>
    </row>
    <row r="304" spans="1:2" x14ac:dyDescent="0.25">
      <c r="A304" s="2" t="s">
        <v>292</v>
      </c>
      <c r="B304" s="4">
        <v>14</v>
      </c>
    </row>
    <row r="305" spans="1:2" x14ac:dyDescent="0.25">
      <c r="A305" s="2" t="s">
        <v>293</v>
      </c>
      <c r="B305" s="4">
        <v>14</v>
      </c>
    </row>
    <row r="306" spans="1:2" x14ac:dyDescent="0.25">
      <c r="A306" s="2" t="s">
        <v>294</v>
      </c>
      <c r="B306" s="4">
        <v>5</v>
      </c>
    </row>
    <row r="307" spans="1:2" x14ac:dyDescent="0.25">
      <c r="A307" s="2" t="s">
        <v>294</v>
      </c>
      <c r="B307" s="4">
        <v>5</v>
      </c>
    </row>
    <row r="308" spans="1:2" x14ac:dyDescent="0.25">
      <c r="A308" s="2" t="s">
        <v>295</v>
      </c>
      <c r="B308" s="4">
        <v>15</v>
      </c>
    </row>
    <row r="309" spans="1:2" x14ac:dyDescent="0.25">
      <c r="A309" s="2" t="s">
        <v>296</v>
      </c>
      <c r="B309" s="4">
        <v>180</v>
      </c>
    </row>
    <row r="310" spans="1:2" x14ac:dyDescent="0.25">
      <c r="A310" s="2" t="s">
        <v>296</v>
      </c>
      <c r="B310" s="4">
        <v>180</v>
      </c>
    </row>
    <row r="311" spans="1:2" x14ac:dyDescent="0.25">
      <c r="A311" s="2" t="s">
        <v>297</v>
      </c>
      <c r="B311" s="4">
        <v>70</v>
      </c>
    </row>
    <row r="312" spans="1:2" x14ac:dyDescent="0.25">
      <c r="A312" s="2" t="s">
        <v>298</v>
      </c>
      <c r="B312" s="4">
        <v>23</v>
      </c>
    </row>
    <row r="313" spans="1:2" x14ac:dyDescent="0.25">
      <c r="A313" s="2" t="s">
        <v>299</v>
      </c>
      <c r="B313" s="4">
        <v>23</v>
      </c>
    </row>
    <row r="314" spans="1:2" x14ac:dyDescent="0.25">
      <c r="A314" s="2" t="s">
        <v>300</v>
      </c>
      <c r="B314" s="4">
        <v>15</v>
      </c>
    </row>
    <row r="315" spans="1:2" x14ac:dyDescent="0.25">
      <c r="A315" s="2" t="s">
        <v>301</v>
      </c>
      <c r="B315" s="4">
        <v>15</v>
      </c>
    </row>
    <row r="316" spans="1:2" x14ac:dyDescent="0.25">
      <c r="A316" s="2" t="s">
        <v>302</v>
      </c>
      <c r="B316" s="4">
        <v>15</v>
      </c>
    </row>
    <row r="317" spans="1:2" x14ac:dyDescent="0.25">
      <c r="A317" s="2" t="s">
        <v>303</v>
      </c>
      <c r="B317" s="4">
        <v>51.25</v>
      </c>
    </row>
    <row r="318" spans="1:2" x14ac:dyDescent="0.25">
      <c r="A318" s="2" t="s">
        <v>304</v>
      </c>
      <c r="B318" s="4">
        <v>25</v>
      </c>
    </row>
    <row r="319" spans="1:2" x14ac:dyDescent="0.25">
      <c r="A319" s="2" t="s">
        <v>305</v>
      </c>
      <c r="B319" s="4">
        <v>25</v>
      </c>
    </row>
    <row r="320" spans="1:2" x14ac:dyDescent="0.25">
      <c r="A320" s="2" t="s">
        <v>306</v>
      </c>
      <c r="B320" s="4">
        <v>6.8</v>
      </c>
    </row>
    <row r="321" spans="1:2" x14ac:dyDescent="0.25">
      <c r="A321" s="2" t="s">
        <v>306</v>
      </c>
      <c r="B321" s="4">
        <v>6.8</v>
      </c>
    </row>
    <row r="322" spans="1:2" x14ac:dyDescent="0.25">
      <c r="A322" s="2" t="s">
        <v>307</v>
      </c>
      <c r="B322" s="4">
        <v>15.5</v>
      </c>
    </row>
    <row r="323" spans="1:2" x14ac:dyDescent="0.25">
      <c r="A323" s="2" t="s">
        <v>308</v>
      </c>
      <c r="B323" s="4">
        <v>20</v>
      </c>
    </row>
    <row r="324" spans="1:2" x14ac:dyDescent="0.25">
      <c r="A324" s="2" t="s">
        <v>309</v>
      </c>
      <c r="B324" s="4">
        <v>113</v>
      </c>
    </row>
    <row r="325" spans="1:2" x14ac:dyDescent="0.25">
      <c r="A325" s="2" t="s">
        <v>310</v>
      </c>
      <c r="B325" s="4">
        <v>148</v>
      </c>
    </row>
    <row r="326" spans="1:2" x14ac:dyDescent="0.25">
      <c r="A326" s="2" t="s">
        <v>311</v>
      </c>
      <c r="B326" s="4">
        <v>209</v>
      </c>
    </row>
    <row r="327" spans="1:2" x14ac:dyDescent="0.25">
      <c r="A327" s="2" t="s">
        <v>312</v>
      </c>
      <c r="B327" s="4">
        <v>35</v>
      </c>
    </row>
    <row r="328" spans="1:2" x14ac:dyDescent="0.25">
      <c r="A328" s="2" t="s">
        <v>313</v>
      </c>
      <c r="B328" s="4">
        <v>25</v>
      </c>
    </row>
    <row r="329" spans="1:2" x14ac:dyDescent="0.25">
      <c r="A329" s="2" t="s">
        <v>314</v>
      </c>
      <c r="B329" s="4">
        <v>15</v>
      </c>
    </row>
    <row r="330" spans="1:2" x14ac:dyDescent="0.25">
      <c r="A330" s="2" t="s">
        <v>315</v>
      </c>
      <c r="B330" s="4">
        <v>15</v>
      </c>
    </row>
    <row r="331" spans="1:2" x14ac:dyDescent="0.25">
      <c r="A331" s="2" t="s">
        <v>316</v>
      </c>
      <c r="B331" s="4">
        <v>3.15</v>
      </c>
    </row>
    <row r="332" spans="1:2" x14ac:dyDescent="0.25">
      <c r="A332" s="2" t="s">
        <v>317</v>
      </c>
      <c r="B332" s="4">
        <v>3.15</v>
      </c>
    </row>
    <row r="333" spans="1:2" x14ac:dyDescent="0.25">
      <c r="A333" s="2" t="s">
        <v>318</v>
      </c>
      <c r="B333" s="4">
        <v>3.15</v>
      </c>
    </row>
    <row r="334" spans="1:2" x14ac:dyDescent="0.25">
      <c r="A334" s="2" t="s">
        <v>319</v>
      </c>
      <c r="B334" s="4">
        <v>51.6</v>
      </c>
    </row>
    <row r="335" spans="1:2" x14ac:dyDescent="0.25">
      <c r="A335" s="2" t="s">
        <v>320</v>
      </c>
      <c r="B335" s="4">
        <v>51.6</v>
      </c>
    </row>
    <row r="336" spans="1:2" x14ac:dyDescent="0.25">
      <c r="A336" s="2" t="s">
        <v>321</v>
      </c>
      <c r="B336" s="4">
        <v>51.6</v>
      </c>
    </row>
    <row r="337" spans="1:2" x14ac:dyDescent="0.25">
      <c r="A337" s="2" t="s">
        <v>322</v>
      </c>
      <c r="B337" s="4">
        <v>2.8</v>
      </c>
    </row>
    <row r="338" spans="1:2" x14ac:dyDescent="0.25">
      <c r="A338" s="2" t="s">
        <v>323</v>
      </c>
      <c r="B338" s="4">
        <v>58</v>
      </c>
    </row>
    <row r="339" spans="1:2" x14ac:dyDescent="0.25">
      <c r="A339" s="2" t="s">
        <v>324</v>
      </c>
      <c r="B339" s="4">
        <v>12.7</v>
      </c>
    </row>
    <row r="340" spans="1:2" x14ac:dyDescent="0.25">
      <c r="A340" s="2" t="s">
        <v>325</v>
      </c>
      <c r="B340" s="4">
        <v>2.8</v>
      </c>
    </row>
    <row r="341" spans="1:2" x14ac:dyDescent="0.25">
      <c r="A341" s="2" t="s">
        <v>326</v>
      </c>
      <c r="B341" s="4">
        <v>2.8</v>
      </c>
    </row>
    <row r="342" spans="1:2" x14ac:dyDescent="0.25">
      <c r="A342" s="2" t="s">
        <v>327</v>
      </c>
      <c r="B342" s="4">
        <v>2.8</v>
      </c>
    </row>
    <row r="343" spans="1:2" x14ac:dyDescent="0.25">
      <c r="A343" s="2" t="s">
        <v>328</v>
      </c>
      <c r="B343" s="4">
        <v>2.8</v>
      </c>
    </row>
    <row r="344" spans="1:2" x14ac:dyDescent="0.25">
      <c r="A344" s="2" t="s">
        <v>329</v>
      </c>
      <c r="B344" s="4">
        <v>2.8</v>
      </c>
    </row>
    <row r="345" spans="1:2" x14ac:dyDescent="0.25">
      <c r="A345" s="2" t="s">
        <v>329</v>
      </c>
      <c r="B345" s="4">
        <v>2.8</v>
      </c>
    </row>
    <row r="346" spans="1:2" x14ac:dyDescent="0.25">
      <c r="A346" s="2" t="s">
        <v>330</v>
      </c>
      <c r="B346" s="4">
        <v>2.8</v>
      </c>
    </row>
    <row r="347" spans="1:2" x14ac:dyDescent="0.25">
      <c r="A347" s="2" t="s">
        <v>331</v>
      </c>
      <c r="B347" s="4">
        <v>20</v>
      </c>
    </row>
    <row r="348" spans="1:2" x14ac:dyDescent="0.25">
      <c r="A348" s="2" t="s">
        <v>332</v>
      </c>
      <c r="B348" s="4">
        <v>20</v>
      </c>
    </row>
    <row r="349" spans="1:2" x14ac:dyDescent="0.25">
      <c r="A349" s="2" t="s">
        <v>333</v>
      </c>
      <c r="B349" s="4">
        <v>20</v>
      </c>
    </row>
    <row r="350" spans="1:2" x14ac:dyDescent="0.25">
      <c r="A350" s="2" t="s">
        <v>334</v>
      </c>
      <c r="B350" s="4">
        <v>20</v>
      </c>
    </row>
    <row r="351" spans="1:2" x14ac:dyDescent="0.25">
      <c r="A351" s="2" t="s">
        <v>334</v>
      </c>
      <c r="B351" s="4">
        <v>20</v>
      </c>
    </row>
    <row r="352" spans="1:2" x14ac:dyDescent="0.25">
      <c r="A352" s="2" t="s">
        <v>335</v>
      </c>
      <c r="B352" s="4">
        <v>59</v>
      </c>
    </row>
    <row r="353" spans="1:2" x14ac:dyDescent="0.25">
      <c r="A353" s="2" t="s">
        <v>336</v>
      </c>
      <c r="B353" s="4">
        <v>59</v>
      </c>
    </row>
    <row r="354" spans="1:2" x14ac:dyDescent="0.25">
      <c r="A354" s="2" t="s">
        <v>337</v>
      </c>
      <c r="B354" s="4">
        <v>80</v>
      </c>
    </row>
    <row r="355" spans="1:2" x14ac:dyDescent="0.25">
      <c r="A355" s="2" t="s">
        <v>338</v>
      </c>
      <c r="B355" s="4">
        <v>19.649999999999999</v>
      </c>
    </row>
    <row r="356" spans="1:2" x14ac:dyDescent="0.25">
      <c r="A356" s="2" t="s">
        <v>339</v>
      </c>
      <c r="B356" s="4">
        <v>80</v>
      </c>
    </row>
    <row r="357" spans="1:2" x14ac:dyDescent="0.25">
      <c r="A357" s="2" t="s">
        <v>340</v>
      </c>
      <c r="B357" s="4">
        <v>35</v>
      </c>
    </row>
    <row r="358" spans="1:2" x14ac:dyDescent="0.25">
      <c r="A358" s="2" t="s">
        <v>341</v>
      </c>
      <c r="B358" s="4">
        <v>10</v>
      </c>
    </row>
    <row r="359" spans="1:2" x14ac:dyDescent="0.25">
      <c r="A359" s="2" t="s">
        <v>342</v>
      </c>
      <c r="B359" s="4">
        <v>15</v>
      </c>
    </row>
    <row r="360" spans="1:2" x14ac:dyDescent="0.25">
      <c r="A360" s="2" t="s">
        <v>343</v>
      </c>
      <c r="B360" s="4">
        <v>39</v>
      </c>
    </row>
    <row r="362" spans="1:2" ht="14.25" customHeight="1" x14ac:dyDescent="0.25">
      <c r="B362"/>
    </row>
    <row r="363" spans="1:2" x14ac:dyDescent="0.25">
      <c r="B363"/>
    </row>
    <row r="364" spans="1:2" x14ac:dyDescent="0.25">
      <c r="B364"/>
    </row>
    <row r="365" spans="1:2" x14ac:dyDescent="0.25">
      <c r="B365"/>
    </row>
    <row r="366" spans="1:2" x14ac:dyDescent="0.25">
      <c r="B366"/>
    </row>
    <row r="367" spans="1:2" x14ac:dyDescent="0.25">
      <c r="B367"/>
    </row>
    <row r="368" spans="1:2" x14ac:dyDescent="0.25">
      <c r="B368"/>
    </row>
    <row r="369" customFormat="1" x14ac:dyDescent="0.25"/>
  </sheetData>
  <autoFilter ref="A1:B360" xr:uid="{DBBC6B95-4941-4F18-94B1-AD305E15200B}">
    <sortState xmlns:xlrd2="http://schemas.microsoft.com/office/spreadsheetml/2017/richdata2" ref="A2:B360">
      <sortCondition ref="A2:A360"/>
    </sortState>
  </autoFilter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08E92-A0D8-462A-A33D-86CC9ABBAF32}">
  <sheetPr>
    <pageSetUpPr fitToPage="1"/>
  </sheetPr>
  <dimension ref="B1:E46"/>
  <sheetViews>
    <sheetView tabSelected="1" topLeftCell="A44" zoomScale="70" zoomScaleNormal="70" workbookViewId="0">
      <selection activeCell="B1" sqref="B1:E46"/>
    </sheetView>
  </sheetViews>
  <sheetFormatPr defaultRowHeight="15" x14ac:dyDescent="0.25"/>
  <cols>
    <col min="2" max="2" width="13" bestFit="1" customWidth="1"/>
    <col min="3" max="3" width="36.28515625" customWidth="1"/>
    <col min="4" max="4" width="60.85546875" bestFit="1" customWidth="1"/>
    <col min="5" max="5" width="33.140625" style="78" customWidth="1"/>
  </cols>
  <sheetData>
    <row r="1" spans="2:5" ht="30" x14ac:dyDescent="0.25">
      <c r="B1" s="67" t="s">
        <v>486</v>
      </c>
      <c r="C1" s="68"/>
      <c r="D1" s="68"/>
      <c r="E1" s="69"/>
    </row>
    <row r="2" spans="2:5" ht="45" x14ac:dyDescent="0.25">
      <c r="B2" s="64" t="s">
        <v>350</v>
      </c>
      <c r="C2" s="65"/>
      <c r="D2" s="65"/>
      <c r="E2" s="66"/>
    </row>
    <row r="3" spans="2:5" ht="45.75" thickBot="1" x14ac:dyDescent="0.3">
      <c r="B3" s="64" t="s">
        <v>351</v>
      </c>
      <c r="C3" s="65"/>
      <c r="D3" s="65"/>
      <c r="E3" s="66"/>
    </row>
    <row r="4" spans="2:5" ht="27" thickBot="1" x14ac:dyDescent="0.3">
      <c r="B4" s="79" t="s">
        <v>344</v>
      </c>
      <c r="C4" s="79" t="s">
        <v>345</v>
      </c>
      <c r="D4" s="80" t="s">
        <v>346</v>
      </c>
      <c r="E4" s="81" t="s">
        <v>348</v>
      </c>
    </row>
    <row r="5" spans="2:5" ht="33.75" x14ac:dyDescent="0.25">
      <c r="B5" s="76">
        <v>1</v>
      </c>
      <c r="C5" s="76" t="s">
        <v>352</v>
      </c>
      <c r="D5" s="77" t="s">
        <v>353</v>
      </c>
      <c r="E5" s="82">
        <f>'UNILAB - RELATÓRIO VENDAS'!E6</f>
        <v>47.6</v>
      </c>
    </row>
    <row r="6" spans="2:5" ht="33.75" x14ac:dyDescent="0.25">
      <c r="B6" s="12">
        <v>2</v>
      </c>
      <c r="C6" s="7" t="s">
        <v>354</v>
      </c>
      <c r="D6" s="8" t="s">
        <v>355</v>
      </c>
      <c r="E6" s="83">
        <f>'UNILAB - RELATÓRIO VENDAS'!E8</f>
        <v>19</v>
      </c>
    </row>
    <row r="7" spans="2:5" ht="33.75" x14ac:dyDescent="0.25">
      <c r="B7" s="12">
        <v>3</v>
      </c>
      <c r="C7" s="7" t="s">
        <v>356</v>
      </c>
      <c r="D7" s="8" t="s">
        <v>357</v>
      </c>
      <c r="E7" s="83">
        <f>'UNILAB - RELATÓRIO VENDAS'!E10</f>
        <v>19</v>
      </c>
    </row>
    <row r="8" spans="2:5" ht="33.75" x14ac:dyDescent="0.25">
      <c r="B8" s="12">
        <v>4</v>
      </c>
      <c r="C8" s="7" t="s">
        <v>358</v>
      </c>
      <c r="D8" s="8" t="s">
        <v>359</v>
      </c>
      <c r="E8" s="83">
        <f>'UNILAB - RELATÓRIO VENDAS'!E11</f>
        <v>6</v>
      </c>
    </row>
    <row r="9" spans="2:5" ht="33.75" x14ac:dyDescent="0.25">
      <c r="B9" s="12">
        <v>5</v>
      </c>
      <c r="C9" s="7" t="s">
        <v>360</v>
      </c>
      <c r="D9" s="8" t="s">
        <v>361</v>
      </c>
      <c r="E9" s="83">
        <f>'UNILAB - RELATÓRIO VENDAS'!E28</f>
        <v>7</v>
      </c>
    </row>
    <row r="10" spans="2:5" ht="33.75" x14ac:dyDescent="0.25">
      <c r="B10" s="12">
        <v>6</v>
      </c>
      <c r="C10" s="7" t="s">
        <v>362</v>
      </c>
      <c r="D10" s="8" t="s">
        <v>363</v>
      </c>
      <c r="E10" s="83">
        <f>'UNILAB - RELATÓRIO VENDAS'!E32</f>
        <v>24.5</v>
      </c>
    </row>
    <row r="11" spans="2:5" ht="33.75" x14ac:dyDescent="0.25">
      <c r="B11" s="12">
        <v>7</v>
      </c>
      <c r="C11" s="7" t="s">
        <v>364</v>
      </c>
      <c r="D11" s="8" t="s">
        <v>87</v>
      </c>
      <c r="E11" s="83">
        <f>'UNILAB - RELATÓRIO VENDAS'!E33</f>
        <v>58</v>
      </c>
    </row>
    <row r="12" spans="2:5" ht="33.75" x14ac:dyDescent="0.25">
      <c r="B12" s="12">
        <v>8</v>
      </c>
      <c r="C12" s="7" t="s">
        <v>365</v>
      </c>
      <c r="D12" s="8" t="s">
        <v>92</v>
      </c>
      <c r="E12" s="83">
        <f>'UNILAB - RELATÓRIO VENDAS'!E34</f>
        <v>23</v>
      </c>
    </row>
    <row r="13" spans="2:5" ht="33.75" x14ac:dyDescent="0.25">
      <c r="B13" s="12">
        <v>9</v>
      </c>
      <c r="C13" s="7" t="s">
        <v>366</v>
      </c>
      <c r="D13" s="9" t="s">
        <v>366</v>
      </c>
      <c r="E13" s="83">
        <f>'UNILAB - RELATÓRIO VENDAS'!E38</f>
        <v>12.3</v>
      </c>
    </row>
    <row r="14" spans="2:5" ht="33.75" x14ac:dyDescent="0.25">
      <c r="B14" s="12">
        <v>10</v>
      </c>
      <c r="C14" s="7" t="s">
        <v>367</v>
      </c>
      <c r="D14" s="8" t="s">
        <v>368</v>
      </c>
      <c r="E14" s="83">
        <f>'UNILAB - RELATÓRIO VENDAS'!E37</f>
        <v>6</v>
      </c>
    </row>
    <row r="15" spans="2:5" ht="33.75" x14ac:dyDescent="0.25">
      <c r="B15" s="12">
        <v>11</v>
      </c>
      <c r="C15" s="10" t="s">
        <v>369</v>
      </c>
      <c r="D15" s="9" t="s">
        <v>149</v>
      </c>
      <c r="E15" s="83">
        <f>'UNILAB - RELATÓRIO VENDAS'!E53</f>
        <v>34</v>
      </c>
    </row>
    <row r="16" spans="2:5" ht="33.75" x14ac:dyDescent="0.25">
      <c r="B16" s="12">
        <v>12</v>
      </c>
      <c r="C16" s="10" t="s">
        <v>370</v>
      </c>
      <c r="D16" s="9" t="s">
        <v>371</v>
      </c>
      <c r="E16" s="83">
        <f>'UNILAB - RELATÓRIO VENDAS'!E54</f>
        <v>30.599999999999998</v>
      </c>
    </row>
    <row r="17" spans="2:5" ht="33.75" x14ac:dyDescent="0.25">
      <c r="B17" s="12">
        <v>13</v>
      </c>
      <c r="C17" s="7" t="s">
        <v>372</v>
      </c>
      <c r="D17" s="9" t="s">
        <v>154</v>
      </c>
      <c r="E17" s="83">
        <f>'UNILAB - RELATÓRIO VENDAS'!E56</f>
        <v>59.5</v>
      </c>
    </row>
    <row r="18" spans="2:5" ht="33.75" x14ac:dyDescent="0.25">
      <c r="B18" s="12">
        <v>14</v>
      </c>
      <c r="C18" s="7" t="s">
        <v>373</v>
      </c>
      <c r="D18" s="9" t="s">
        <v>374</v>
      </c>
      <c r="E18" s="83">
        <f>'UNILAB - RELATÓRIO VENDAS'!E57</f>
        <v>13</v>
      </c>
    </row>
    <row r="19" spans="2:5" ht="33.75" x14ac:dyDescent="0.25">
      <c r="B19" s="12">
        <v>15</v>
      </c>
      <c r="C19" s="7" t="s">
        <v>375</v>
      </c>
      <c r="D19" s="9" t="s">
        <v>376</v>
      </c>
      <c r="E19" s="83">
        <f>'UNILAB - RELATÓRIO VENDAS'!E66</f>
        <v>6</v>
      </c>
    </row>
    <row r="20" spans="2:5" ht="33.75" x14ac:dyDescent="0.25">
      <c r="B20" s="12">
        <v>16</v>
      </c>
      <c r="C20" s="7" t="s">
        <v>177</v>
      </c>
      <c r="D20" s="9" t="s">
        <v>177</v>
      </c>
      <c r="E20" s="83">
        <f>'UNILAB - RELATÓRIO VENDAS'!E69</f>
        <v>24.5</v>
      </c>
    </row>
    <row r="21" spans="2:5" ht="33.75" x14ac:dyDescent="0.25">
      <c r="B21" s="12">
        <v>17</v>
      </c>
      <c r="C21" s="7" t="s">
        <v>377</v>
      </c>
      <c r="D21" s="9" t="s">
        <v>378</v>
      </c>
      <c r="E21" s="83">
        <v>23</v>
      </c>
    </row>
    <row r="22" spans="2:5" ht="33.75" x14ac:dyDescent="0.25">
      <c r="B22" s="12">
        <v>18</v>
      </c>
      <c r="C22" s="7" t="s">
        <v>379</v>
      </c>
      <c r="D22" s="9" t="s">
        <v>185</v>
      </c>
      <c r="E22" s="83">
        <f>'UNILAB - RELATÓRIO VENDAS'!E72</f>
        <v>13</v>
      </c>
    </row>
    <row r="23" spans="2:5" ht="33.75" x14ac:dyDescent="0.25">
      <c r="B23" s="12">
        <v>19</v>
      </c>
      <c r="C23" s="10" t="s">
        <v>380</v>
      </c>
      <c r="D23" s="9" t="s">
        <v>381</v>
      </c>
      <c r="E23" s="83">
        <f>'UNILAB - RELATÓRIO VENDAS'!E73</f>
        <v>8.5</v>
      </c>
    </row>
    <row r="24" spans="2:5" ht="33.75" x14ac:dyDescent="0.25">
      <c r="B24" s="12">
        <v>20</v>
      </c>
      <c r="C24" s="7" t="s">
        <v>382</v>
      </c>
      <c r="D24" s="9" t="s">
        <v>383</v>
      </c>
      <c r="E24" s="83">
        <f>'UNILAB - RELATÓRIO VENDAS'!E116</f>
        <v>6</v>
      </c>
    </row>
    <row r="25" spans="2:5" ht="33.75" x14ac:dyDescent="0.25">
      <c r="B25" s="12">
        <v>21</v>
      </c>
      <c r="C25" s="7" t="s">
        <v>384</v>
      </c>
      <c r="D25" s="9" t="s">
        <v>385</v>
      </c>
      <c r="E25" s="84">
        <f>'UNILAB - RELATÓRIO VENDAS'!E103</f>
        <v>12</v>
      </c>
    </row>
    <row r="26" spans="2:5" ht="33.75" x14ac:dyDescent="0.25">
      <c r="B26" s="12">
        <v>22</v>
      </c>
      <c r="C26" s="7" t="s">
        <v>386</v>
      </c>
      <c r="D26" s="9" t="s">
        <v>387</v>
      </c>
      <c r="E26" s="83">
        <f>'UNILAB - RELATÓRIO VENDAS'!E136</f>
        <v>6</v>
      </c>
    </row>
    <row r="27" spans="2:5" ht="33.75" x14ac:dyDescent="0.25">
      <c r="B27" s="12">
        <v>23</v>
      </c>
      <c r="C27" s="7" t="s">
        <v>388</v>
      </c>
      <c r="D27" s="9" t="s">
        <v>251</v>
      </c>
      <c r="E27" s="83">
        <f>'UNILAB - RELATÓRIO VENDAS'!E112</f>
        <v>68</v>
      </c>
    </row>
    <row r="28" spans="2:5" ht="33.75" x14ac:dyDescent="0.25">
      <c r="B28" s="12">
        <v>24</v>
      </c>
      <c r="C28" s="7" t="s">
        <v>389</v>
      </c>
      <c r="D28" s="9" t="s">
        <v>390</v>
      </c>
      <c r="E28" s="83">
        <f>'UNILAB - RELATÓRIO VENDAS'!E122</f>
        <v>7.5</v>
      </c>
    </row>
    <row r="29" spans="2:5" ht="33.75" x14ac:dyDescent="0.25">
      <c r="B29" s="12">
        <v>25</v>
      </c>
      <c r="C29" s="7" t="s">
        <v>391</v>
      </c>
      <c r="D29" s="9" t="s">
        <v>392</v>
      </c>
      <c r="E29" s="83">
        <f>'UNILAB - RELATÓRIO VENDAS'!E14</f>
        <v>38</v>
      </c>
    </row>
    <row r="30" spans="2:5" ht="33.75" x14ac:dyDescent="0.25">
      <c r="B30" s="12">
        <v>26</v>
      </c>
      <c r="C30" s="7" t="s">
        <v>393</v>
      </c>
      <c r="D30" s="9" t="s">
        <v>393</v>
      </c>
      <c r="E30" s="83">
        <f>'UNILAB - RELATÓRIO VENDAS'!E114</f>
        <v>85</v>
      </c>
    </row>
    <row r="31" spans="2:5" ht="33.75" x14ac:dyDescent="0.25">
      <c r="B31" s="12">
        <v>27</v>
      </c>
      <c r="C31" s="7" t="s">
        <v>394</v>
      </c>
      <c r="D31" s="9" t="s">
        <v>395</v>
      </c>
      <c r="E31" s="83">
        <f>'UNILAB - RELATÓRIO VENDAS'!E134</f>
        <v>12.5</v>
      </c>
    </row>
    <row r="32" spans="2:5" ht="33.75" x14ac:dyDescent="0.25">
      <c r="B32" s="12">
        <v>28</v>
      </c>
      <c r="C32" s="7" t="s">
        <v>396</v>
      </c>
      <c r="D32" s="9" t="s">
        <v>293</v>
      </c>
      <c r="E32" s="83">
        <f>'UNILAB - RELATÓRIO VENDAS'!E139</f>
        <v>23.8</v>
      </c>
    </row>
    <row r="33" spans="2:5" ht="34.5" thickBot="1" x14ac:dyDescent="0.3">
      <c r="B33" s="85">
        <v>29</v>
      </c>
      <c r="C33" s="86" t="s">
        <v>397</v>
      </c>
      <c r="D33" s="87" t="s">
        <v>398</v>
      </c>
      <c r="E33" s="88">
        <f>'UNILAB - RELATÓRIO VENDAS'!E140</f>
        <v>24</v>
      </c>
    </row>
    <row r="34" spans="2:5" ht="33.75" x14ac:dyDescent="0.25">
      <c r="B34" s="76">
        <v>30</v>
      </c>
      <c r="C34" s="76" t="s">
        <v>399</v>
      </c>
      <c r="D34" s="89" t="s">
        <v>400</v>
      </c>
      <c r="E34" s="82">
        <f>'UNILAB - RELATÓRIO VENDAS'!E144</f>
        <v>39.1</v>
      </c>
    </row>
    <row r="35" spans="2:5" ht="33.75" x14ac:dyDescent="0.25">
      <c r="B35" s="12">
        <v>31</v>
      </c>
      <c r="C35" s="7" t="s">
        <v>401</v>
      </c>
      <c r="D35" s="9" t="s">
        <v>300</v>
      </c>
      <c r="E35" s="83">
        <f>'UNILAB - RELATÓRIO VENDAS'!E145</f>
        <v>34</v>
      </c>
    </row>
    <row r="36" spans="2:5" ht="33.75" x14ac:dyDescent="0.25">
      <c r="B36" s="12">
        <v>32</v>
      </c>
      <c r="C36" s="10" t="s">
        <v>402</v>
      </c>
      <c r="D36" s="9" t="s">
        <v>403</v>
      </c>
      <c r="E36" s="83">
        <f>'UNILAB - RELATÓRIO VENDAS'!E149</f>
        <v>6</v>
      </c>
    </row>
    <row r="37" spans="2:5" ht="33.75" x14ac:dyDescent="0.25">
      <c r="B37" s="12">
        <v>33</v>
      </c>
      <c r="C37" s="10" t="s">
        <v>404</v>
      </c>
      <c r="D37" s="9" t="s">
        <v>405</v>
      </c>
      <c r="E37" s="83">
        <f>'UNILAB - RELATÓRIO VENDAS'!E150</f>
        <v>6</v>
      </c>
    </row>
    <row r="38" spans="2:5" ht="33.75" x14ac:dyDescent="0.25">
      <c r="B38" s="12">
        <v>34</v>
      </c>
      <c r="C38" s="7" t="s">
        <v>406</v>
      </c>
      <c r="D38" s="9" t="s">
        <v>322</v>
      </c>
      <c r="E38" s="83">
        <f>'UNILAB - RELATÓRIO VENDAS'!E151</f>
        <v>8.5</v>
      </c>
    </row>
    <row r="39" spans="2:5" ht="33.75" x14ac:dyDescent="0.25">
      <c r="B39" s="12">
        <v>35</v>
      </c>
      <c r="C39" s="7" t="s">
        <v>407</v>
      </c>
      <c r="D39" s="9" t="s">
        <v>408</v>
      </c>
      <c r="E39" s="83">
        <f>'UNILAB - RELATÓRIO VENDAS'!E152</f>
        <v>98.6</v>
      </c>
    </row>
    <row r="40" spans="2:5" ht="33.75" x14ac:dyDescent="0.25">
      <c r="B40" s="12">
        <v>36</v>
      </c>
      <c r="C40" s="7" t="s">
        <v>409</v>
      </c>
      <c r="D40" s="9" t="s">
        <v>324</v>
      </c>
      <c r="E40" s="83">
        <f>'UNILAB - RELATÓRIO VENDAS'!E153</f>
        <v>23</v>
      </c>
    </row>
    <row r="41" spans="2:5" ht="33.75" x14ac:dyDescent="0.25">
      <c r="B41" s="12">
        <v>37</v>
      </c>
      <c r="C41" s="7" t="s">
        <v>410</v>
      </c>
      <c r="D41" s="9" t="s">
        <v>411</v>
      </c>
      <c r="E41" s="83">
        <f>'UNILAB - RELATÓRIO VENDAS'!E155</f>
        <v>6</v>
      </c>
    </row>
    <row r="42" spans="2:5" ht="33.75" x14ac:dyDescent="0.25">
      <c r="B42" s="12">
        <v>38</v>
      </c>
      <c r="C42" s="7" t="s">
        <v>412</v>
      </c>
      <c r="D42" s="9" t="s">
        <v>413</v>
      </c>
      <c r="E42" s="83">
        <f>'UNILAB - RELATÓRIO VENDAS'!E159</f>
        <v>8.5</v>
      </c>
    </row>
    <row r="43" spans="2:5" ht="33.75" x14ac:dyDescent="0.25">
      <c r="B43" s="12">
        <v>39</v>
      </c>
      <c r="C43" s="7" t="s">
        <v>414</v>
      </c>
      <c r="D43" s="9" t="s">
        <v>415</v>
      </c>
      <c r="E43" s="83">
        <f>'UNILAB - RELATÓRIO VENDAS'!E164</f>
        <v>34</v>
      </c>
    </row>
    <row r="44" spans="2:5" ht="33.75" x14ac:dyDescent="0.25">
      <c r="B44" s="12">
        <v>40</v>
      </c>
      <c r="C44" s="7" t="s">
        <v>416</v>
      </c>
      <c r="D44" s="9" t="s">
        <v>417</v>
      </c>
      <c r="E44" s="83">
        <f>'UNILAB - RELATÓRIO VENDAS'!E167</f>
        <v>33.404999999999994</v>
      </c>
    </row>
    <row r="45" spans="2:5" ht="33.75" x14ac:dyDescent="0.25">
      <c r="B45" s="12">
        <v>41</v>
      </c>
      <c r="C45" s="7" t="s">
        <v>349</v>
      </c>
      <c r="D45" s="9" t="s">
        <v>418</v>
      </c>
      <c r="E45" s="83">
        <f>'UNILAB - RELATÓRIO VENDAS'!E5</f>
        <v>34.5</v>
      </c>
    </row>
    <row r="46" spans="2:5" ht="34.5" thickBot="1" x14ac:dyDescent="0.3">
      <c r="B46" s="85">
        <v>42</v>
      </c>
      <c r="C46" s="86" t="s">
        <v>419</v>
      </c>
      <c r="D46" s="87" t="s">
        <v>342</v>
      </c>
      <c r="E46" s="88">
        <f>'UNILAB - VENDAS'!D173</f>
        <v>51.5</v>
      </c>
    </row>
  </sheetData>
  <sortState xmlns:xlrd2="http://schemas.microsoft.com/office/spreadsheetml/2017/richdata2" ref="B5:D46">
    <sortCondition ref="D5:D46"/>
  </sortState>
  <mergeCells count="3">
    <mergeCell ref="B3:E3"/>
    <mergeCell ref="B1:E1"/>
    <mergeCell ref="B2:E2"/>
  </mergeCells>
  <conditionalFormatting sqref="B5:E46">
    <cfRule type="expression" dxfId="0" priority="1">
      <formula>MOD(ROW(),2)=0</formula>
    </cfRule>
  </conditionalFormatting>
  <pageMargins left="0.25" right="0.25" top="0.75" bottom="0.75" header="0.3" footer="0.3"/>
  <pageSetup paperSize="9" scale="64" fitToHeight="0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AACAF-A4F4-4478-B03E-C24BFCB005E3}">
  <dimension ref="A1:G363"/>
  <sheetViews>
    <sheetView topLeftCell="A61" zoomScale="55" zoomScaleNormal="55" workbookViewId="0">
      <selection activeCell="C82" sqref="C82"/>
    </sheetView>
  </sheetViews>
  <sheetFormatPr defaultRowHeight="15" x14ac:dyDescent="0.25"/>
  <cols>
    <col min="1" max="1" width="17.28515625" style="16" customWidth="1"/>
    <col min="2" max="2" width="34.28515625" style="16" customWidth="1"/>
    <col min="3" max="3" width="105" bestFit="1" customWidth="1"/>
    <col min="4" max="4" width="16" bestFit="1" customWidth="1"/>
    <col min="5" max="5" width="23.5703125" style="5" bestFit="1" customWidth="1"/>
    <col min="6" max="6" width="20.7109375" bestFit="1" customWidth="1"/>
    <col min="7" max="7" width="16.140625" bestFit="1" customWidth="1"/>
  </cols>
  <sheetData>
    <row r="1" spans="1:7" ht="30" x14ac:dyDescent="0.25">
      <c r="A1" s="73" t="s">
        <v>486</v>
      </c>
      <c r="B1" s="73"/>
      <c r="C1" s="73"/>
      <c r="D1" s="73"/>
      <c r="E1" s="73"/>
      <c r="F1" s="73"/>
      <c r="G1" s="73"/>
    </row>
    <row r="2" spans="1:7" ht="45" x14ac:dyDescent="0.25">
      <c r="A2" s="65" t="s">
        <v>487</v>
      </c>
      <c r="B2" s="65"/>
      <c r="C2" s="65"/>
      <c r="D2" s="65"/>
      <c r="E2" s="65"/>
      <c r="F2" s="65"/>
      <c r="G2" s="65"/>
    </row>
    <row r="3" spans="1:7" ht="55.5" x14ac:dyDescent="0.25">
      <c r="A3" s="51" t="s">
        <v>344</v>
      </c>
      <c r="B3" s="51" t="s">
        <v>345</v>
      </c>
      <c r="C3" s="51" t="s">
        <v>346</v>
      </c>
      <c r="D3" s="52" t="s">
        <v>347</v>
      </c>
      <c r="E3" s="57" t="s">
        <v>488</v>
      </c>
      <c r="F3" s="52" t="s">
        <v>489</v>
      </c>
      <c r="G3" s="52" t="s">
        <v>490</v>
      </c>
    </row>
    <row r="4" spans="1:7" ht="26.25" x14ac:dyDescent="0.25">
      <c r="A4" s="70" t="s">
        <v>491</v>
      </c>
      <c r="B4" s="71"/>
      <c r="C4" s="71"/>
      <c r="D4" s="71"/>
      <c r="E4" s="71"/>
      <c r="F4" s="71"/>
      <c r="G4" s="72"/>
    </row>
    <row r="5" spans="1:7" ht="27" x14ac:dyDescent="0.5">
      <c r="A5" s="28">
        <v>1</v>
      </c>
      <c r="B5" s="45" t="s">
        <v>349</v>
      </c>
      <c r="C5" s="46" t="s">
        <v>3</v>
      </c>
      <c r="D5" s="47">
        <v>19.5</v>
      </c>
      <c r="E5" s="59">
        <v>34.5</v>
      </c>
      <c r="F5" s="29">
        <f t="shared" ref="F5:F16" si="0">E5-D5</f>
        <v>15</v>
      </c>
      <c r="G5" s="30">
        <f t="shared" ref="G5:G16" si="1">E5/D5-100%</f>
        <v>0.76923076923076916</v>
      </c>
    </row>
    <row r="6" spans="1:7" ht="27" x14ac:dyDescent="0.5">
      <c r="A6" s="24">
        <v>2</v>
      </c>
      <c r="B6" s="18" t="s">
        <v>352</v>
      </c>
      <c r="C6" s="19" t="s">
        <v>11</v>
      </c>
      <c r="D6" s="20">
        <v>28</v>
      </c>
      <c r="E6" s="60">
        <f>D6*170%</f>
        <v>47.6</v>
      </c>
      <c r="F6" s="17">
        <f t="shared" si="0"/>
        <v>19.600000000000001</v>
      </c>
      <c r="G6" s="25">
        <f t="shared" si="1"/>
        <v>0.7</v>
      </c>
    </row>
    <row r="7" spans="1:7" ht="27" x14ac:dyDescent="0.5">
      <c r="A7" s="24">
        <v>3</v>
      </c>
      <c r="B7" s="23" t="s">
        <v>420</v>
      </c>
      <c r="C7" s="21" t="s">
        <v>15</v>
      </c>
      <c r="D7" s="22">
        <v>9.9</v>
      </c>
      <c r="E7" s="60">
        <v>19</v>
      </c>
      <c r="F7" s="17">
        <f t="shared" si="0"/>
        <v>9.1</v>
      </c>
      <c r="G7" s="25">
        <f t="shared" si="1"/>
        <v>0.91919191919191912</v>
      </c>
    </row>
    <row r="8" spans="1:7" ht="27" x14ac:dyDescent="0.5">
      <c r="A8" s="24">
        <v>4</v>
      </c>
      <c r="B8" s="42" t="s">
        <v>354</v>
      </c>
      <c r="C8" s="43" t="s">
        <v>16</v>
      </c>
      <c r="D8" s="20">
        <v>9.9</v>
      </c>
      <c r="E8" s="60">
        <v>19</v>
      </c>
      <c r="F8" s="17">
        <f t="shared" si="0"/>
        <v>9.1</v>
      </c>
      <c r="G8" s="25">
        <f t="shared" si="1"/>
        <v>0.91919191919191912</v>
      </c>
    </row>
    <row r="9" spans="1:7" ht="27" x14ac:dyDescent="0.5">
      <c r="A9" s="40">
        <v>5</v>
      </c>
      <c r="B9" s="39" t="s">
        <v>356</v>
      </c>
      <c r="C9" s="21" t="s">
        <v>19</v>
      </c>
      <c r="D9" s="41">
        <v>9.9</v>
      </c>
      <c r="E9" s="60">
        <v>19</v>
      </c>
      <c r="F9" s="17">
        <f t="shared" si="0"/>
        <v>9.1</v>
      </c>
      <c r="G9" s="25">
        <f t="shared" si="1"/>
        <v>0.91919191919191912</v>
      </c>
    </row>
    <row r="10" spans="1:7" ht="27" x14ac:dyDescent="0.5">
      <c r="A10" s="40">
        <v>6</v>
      </c>
      <c r="B10" s="39" t="s">
        <v>421</v>
      </c>
      <c r="C10" s="21" t="s">
        <v>20</v>
      </c>
      <c r="D10" s="20">
        <v>9.9</v>
      </c>
      <c r="E10" s="60">
        <v>19</v>
      </c>
      <c r="F10" s="17">
        <f t="shared" si="0"/>
        <v>9.1</v>
      </c>
      <c r="G10" s="25">
        <f t="shared" si="1"/>
        <v>0.91919191919191912</v>
      </c>
    </row>
    <row r="11" spans="1:7" ht="27" x14ac:dyDescent="0.5">
      <c r="A11" s="24">
        <v>7</v>
      </c>
      <c r="B11" s="13" t="s">
        <v>358</v>
      </c>
      <c r="C11" s="44" t="s">
        <v>27</v>
      </c>
      <c r="D11" s="22">
        <v>3</v>
      </c>
      <c r="E11" s="60">
        <v>6</v>
      </c>
      <c r="F11" s="17">
        <f t="shared" si="0"/>
        <v>3</v>
      </c>
      <c r="G11" s="25">
        <f t="shared" si="1"/>
        <v>1</v>
      </c>
    </row>
    <row r="12" spans="1:7" ht="27" x14ac:dyDescent="0.5">
      <c r="A12" s="24">
        <v>8</v>
      </c>
      <c r="B12" s="6" t="s">
        <v>422</v>
      </c>
      <c r="C12" s="37" t="s">
        <v>28</v>
      </c>
      <c r="D12" s="20">
        <v>7</v>
      </c>
      <c r="E12" s="60">
        <f>D12*170%</f>
        <v>11.9</v>
      </c>
      <c r="F12" s="17">
        <f t="shared" si="0"/>
        <v>4.9000000000000004</v>
      </c>
      <c r="G12" s="25">
        <f t="shared" si="1"/>
        <v>0.7</v>
      </c>
    </row>
    <row r="13" spans="1:7" ht="27" x14ac:dyDescent="0.5">
      <c r="A13" s="24">
        <v>9</v>
      </c>
      <c r="B13" s="6" t="s">
        <v>423</v>
      </c>
      <c r="C13" s="36" t="s">
        <v>29</v>
      </c>
      <c r="D13" s="22">
        <v>4</v>
      </c>
      <c r="E13" s="60">
        <f>D13*170%</f>
        <v>6.8</v>
      </c>
      <c r="F13" s="17">
        <f t="shared" si="0"/>
        <v>2.8</v>
      </c>
      <c r="G13" s="25">
        <f t="shared" si="1"/>
        <v>0.7</v>
      </c>
    </row>
    <row r="14" spans="1:7" s="11" customFormat="1" ht="27" x14ac:dyDescent="0.5">
      <c r="A14" s="24">
        <v>10</v>
      </c>
      <c r="B14" s="18" t="s">
        <v>391</v>
      </c>
      <c r="C14" s="19" t="s">
        <v>33</v>
      </c>
      <c r="D14" s="20">
        <v>19.850000000000001</v>
      </c>
      <c r="E14" s="60">
        <v>38</v>
      </c>
      <c r="F14" s="17">
        <f t="shared" si="0"/>
        <v>18.149999999999999</v>
      </c>
      <c r="G14" s="25">
        <f t="shared" si="1"/>
        <v>0.91435768261964712</v>
      </c>
    </row>
    <row r="15" spans="1:7" ht="27" x14ac:dyDescent="0.5">
      <c r="A15" s="24">
        <v>11</v>
      </c>
      <c r="B15" s="23"/>
      <c r="C15" s="21" t="s">
        <v>34</v>
      </c>
      <c r="D15" s="22">
        <v>19.850000000000001</v>
      </c>
      <c r="E15" s="60">
        <v>34</v>
      </c>
      <c r="F15" s="17">
        <f t="shared" si="0"/>
        <v>14.149999999999999</v>
      </c>
      <c r="G15" s="25">
        <f t="shared" si="1"/>
        <v>0.71284634760705279</v>
      </c>
    </row>
    <row r="16" spans="1:7" ht="27" x14ac:dyDescent="0.5">
      <c r="A16" s="24">
        <v>12</v>
      </c>
      <c r="B16" s="18" t="s">
        <v>424</v>
      </c>
      <c r="C16" s="19" t="s">
        <v>34</v>
      </c>
      <c r="D16" s="20">
        <v>25</v>
      </c>
      <c r="E16" s="60">
        <f>D16*170%</f>
        <v>42.5</v>
      </c>
      <c r="F16" s="17">
        <f t="shared" si="0"/>
        <v>17.5</v>
      </c>
      <c r="G16" s="25">
        <f t="shared" si="1"/>
        <v>0.7</v>
      </c>
    </row>
    <row r="17" spans="1:7" ht="26.25" x14ac:dyDescent="0.25">
      <c r="A17" s="70" t="s">
        <v>492</v>
      </c>
      <c r="B17" s="71"/>
      <c r="C17" s="71"/>
      <c r="D17" s="71"/>
      <c r="E17" s="71"/>
      <c r="F17" s="71"/>
      <c r="G17" s="72"/>
    </row>
    <row r="18" spans="1:7" ht="27" x14ac:dyDescent="0.5">
      <c r="A18" s="24">
        <v>13</v>
      </c>
      <c r="B18" s="6" t="s">
        <v>425</v>
      </c>
      <c r="C18" s="21" t="s">
        <v>46</v>
      </c>
      <c r="D18" s="22">
        <v>5</v>
      </c>
      <c r="E18" s="60">
        <f>D18*170%</f>
        <v>8.5</v>
      </c>
      <c r="F18" s="17">
        <f>E18-D18</f>
        <v>3.5</v>
      </c>
      <c r="G18" s="25">
        <f>E18/D18-100%</f>
        <v>0.7</v>
      </c>
    </row>
    <row r="19" spans="1:7" ht="27" x14ac:dyDescent="0.5">
      <c r="A19" s="24">
        <v>14</v>
      </c>
      <c r="B19" s="18"/>
      <c r="C19" s="19" t="s">
        <v>47</v>
      </c>
      <c r="D19" s="20">
        <v>5</v>
      </c>
      <c r="E19" s="60">
        <f>D19*170%</f>
        <v>8.5</v>
      </c>
      <c r="F19" s="17">
        <f>E19-D19</f>
        <v>3.5</v>
      </c>
      <c r="G19" s="25">
        <f>E19/D19-100%</f>
        <v>0.7</v>
      </c>
    </row>
    <row r="20" spans="1:7" ht="27" x14ac:dyDescent="0.5">
      <c r="A20" s="24">
        <v>15</v>
      </c>
      <c r="B20" s="6" t="s">
        <v>426</v>
      </c>
      <c r="C20" s="21" t="s">
        <v>48</v>
      </c>
      <c r="D20" s="22">
        <v>28</v>
      </c>
      <c r="E20" s="60">
        <f>D20*170%</f>
        <v>47.6</v>
      </c>
      <c r="F20" s="17">
        <f>E20-D20</f>
        <v>19.600000000000001</v>
      </c>
      <c r="G20" s="25">
        <f>E20/D20-100%</f>
        <v>0.7</v>
      </c>
    </row>
    <row r="21" spans="1:7" ht="27" x14ac:dyDescent="0.5">
      <c r="A21" s="24">
        <v>16</v>
      </c>
      <c r="B21" s="6" t="s">
        <v>427</v>
      </c>
      <c r="C21" s="19" t="s">
        <v>49</v>
      </c>
      <c r="D21" s="20">
        <v>28</v>
      </c>
      <c r="E21" s="60">
        <f>D21*170%</f>
        <v>47.6</v>
      </c>
      <c r="F21" s="17">
        <f>E21-D21</f>
        <v>19.600000000000001</v>
      </c>
      <c r="G21" s="25">
        <f>E21/D21-100%</f>
        <v>0.7</v>
      </c>
    </row>
    <row r="22" spans="1:7" ht="26.25" x14ac:dyDescent="0.25">
      <c r="A22" s="70" t="s">
        <v>493</v>
      </c>
      <c r="B22" s="71"/>
      <c r="C22" s="71"/>
      <c r="D22" s="71"/>
      <c r="E22" s="71"/>
      <c r="F22" s="71"/>
      <c r="G22" s="72"/>
    </row>
    <row r="23" spans="1:7" ht="27" x14ac:dyDescent="0.5">
      <c r="A23" s="24">
        <v>17</v>
      </c>
      <c r="B23" s="23" t="s">
        <v>494</v>
      </c>
      <c r="C23" s="21" t="s">
        <v>52</v>
      </c>
      <c r="D23" s="22">
        <v>37</v>
      </c>
      <c r="E23" s="60">
        <v>69</v>
      </c>
      <c r="F23" s="17">
        <f t="shared" ref="F23:F41" si="2">E23-D23</f>
        <v>32</v>
      </c>
      <c r="G23" s="25">
        <f t="shared" ref="G23:G41" si="3">E23/D23-100%</f>
        <v>0.86486486486486491</v>
      </c>
    </row>
    <row r="24" spans="1:7" ht="27" x14ac:dyDescent="0.5">
      <c r="A24" s="24">
        <v>18</v>
      </c>
      <c r="B24" s="6" t="s">
        <v>495</v>
      </c>
      <c r="C24" s="19" t="s">
        <v>53</v>
      </c>
      <c r="D24" s="20">
        <v>50</v>
      </c>
      <c r="E24" s="60">
        <f>D24*170%</f>
        <v>85</v>
      </c>
      <c r="F24" s="17">
        <f t="shared" si="2"/>
        <v>35</v>
      </c>
      <c r="G24" s="25">
        <f t="shared" si="3"/>
        <v>0.7</v>
      </c>
    </row>
    <row r="25" spans="1:7" ht="27" x14ac:dyDescent="0.5">
      <c r="A25" s="24">
        <v>19</v>
      </c>
      <c r="B25" s="6" t="s">
        <v>496</v>
      </c>
      <c r="C25" s="21" t="s">
        <v>54</v>
      </c>
      <c r="D25" s="22">
        <v>50</v>
      </c>
      <c r="E25" s="60">
        <f>D25*170%</f>
        <v>85</v>
      </c>
      <c r="F25" s="17">
        <f t="shared" si="2"/>
        <v>35</v>
      </c>
      <c r="G25" s="25">
        <f t="shared" si="3"/>
        <v>0.7</v>
      </c>
    </row>
    <row r="26" spans="1:7" ht="27" x14ac:dyDescent="0.5">
      <c r="A26" s="24">
        <v>20</v>
      </c>
      <c r="B26" s="6" t="s">
        <v>428</v>
      </c>
      <c r="C26" s="21" t="s">
        <v>55</v>
      </c>
      <c r="D26" s="22">
        <v>60</v>
      </c>
      <c r="E26" s="60">
        <f>D26*170%</f>
        <v>102</v>
      </c>
      <c r="F26" s="17">
        <f t="shared" si="2"/>
        <v>42</v>
      </c>
      <c r="G26" s="25">
        <f t="shared" si="3"/>
        <v>0.7</v>
      </c>
    </row>
    <row r="27" spans="1:7" ht="27" x14ac:dyDescent="0.5">
      <c r="A27" s="24">
        <v>21</v>
      </c>
      <c r="B27" s="18" t="s">
        <v>429</v>
      </c>
      <c r="C27" s="19" t="s">
        <v>64</v>
      </c>
      <c r="D27" s="20">
        <v>15</v>
      </c>
      <c r="E27" s="60">
        <f>D27*170%</f>
        <v>25.5</v>
      </c>
      <c r="F27" s="17">
        <f t="shared" si="2"/>
        <v>10.5</v>
      </c>
      <c r="G27" s="25">
        <f t="shared" si="3"/>
        <v>0.7</v>
      </c>
    </row>
    <row r="28" spans="1:7" ht="27" x14ac:dyDescent="0.5">
      <c r="A28" s="24">
        <v>22</v>
      </c>
      <c r="B28" s="6" t="s">
        <v>360</v>
      </c>
      <c r="C28" s="19" t="s">
        <v>65</v>
      </c>
      <c r="D28" s="20">
        <v>4</v>
      </c>
      <c r="E28" s="60">
        <v>7</v>
      </c>
      <c r="F28" s="17">
        <f t="shared" si="2"/>
        <v>3</v>
      </c>
      <c r="G28" s="25">
        <f t="shared" si="3"/>
        <v>0.75</v>
      </c>
    </row>
    <row r="29" spans="1:7" ht="27" x14ac:dyDescent="0.5">
      <c r="A29" s="24">
        <v>23</v>
      </c>
      <c r="B29" s="23" t="s">
        <v>430</v>
      </c>
      <c r="C29" s="21" t="s">
        <v>66</v>
      </c>
      <c r="D29" s="22">
        <v>6</v>
      </c>
      <c r="E29" s="60">
        <v>11</v>
      </c>
      <c r="F29" s="17">
        <f t="shared" si="2"/>
        <v>5</v>
      </c>
      <c r="G29" s="25">
        <f t="shared" si="3"/>
        <v>0.83333333333333326</v>
      </c>
    </row>
    <row r="30" spans="1:7" ht="27" x14ac:dyDescent="0.5">
      <c r="A30" s="24">
        <v>24</v>
      </c>
      <c r="B30" s="23" t="s">
        <v>497</v>
      </c>
      <c r="C30" s="21" t="s">
        <v>78</v>
      </c>
      <c r="D30" s="22">
        <v>4</v>
      </c>
      <c r="E30" s="60">
        <f>D30*170%</f>
        <v>6.8</v>
      </c>
      <c r="F30" s="17">
        <f t="shared" si="2"/>
        <v>2.8</v>
      </c>
      <c r="G30" s="25">
        <f t="shared" si="3"/>
        <v>0.7</v>
      </c>
    </row>
    <row r="31" spans="1:7" ht="27" x14ac:dyDescent="0.5">
      <c r="A31" s="24">
        <v>25</v>
      </c>
      <c r="B31" s="18" t="s">
        <v>431</v>
      </c>
      <c r="C31" s="19" t="s">
        <v>79</v>
      </c>
      <c r="D31" s="20">
        <v>20</v>
      </c>
      <c r="E31" s="60">
        <f>D31*170%</f>
        <v>34</v>
      </c>
      <c r="F31" s="17">
        <f t="shared" si="2"/>
        <v>14</v>
      </c>
      <c r="G31" s="25">
        <f t="shared" si="3"/>
        <v>0.7</v>
      </c>
    </row>
    <row r="32" spans="1:7" ht="27" x14ac:dyDescent="0.5">
      <c r="A32" s="24">
        <v>26</v>
      </c>
      <c r="B32" s="23"/>
      <c r="C32" s="21" t="s">
        <v>85</v>
      </c>
      <c r="D32" s="22">
        <v>3.15</v>
      </c>
      <c r="E32" s="60">
        <v>24.5</v>
      </c>
      <c r="F32" s="17">
        <f t="shared" si="2"/>
        <v>21.35</v>
      </c>
      <c r="G32" s="25">
        <f t="shared" si="3"/>
        <v>6.7777777777777777</v>
      </c>
    </row>
    <row r="33" spans="1:7" ht="27" x14ac:dyDescent="0.5">
      <c r="A33" s="24">
        <v>27</v>
      </c>
      <c r="B33" s="18" t="s">
        <v>364</v>
      </c>
      <c r="C33" s="19" t="s">
        <v>87</v>
      </c>
      <c r="D33" s="20">
        <v>15.3</v>
      </c>
      <c r="E33" s="60">
        <v>58</v>
      </c>
      <c r="F33" s="17">
        <f t="shared" si="2"/>
        <v>42.7</v>
      </c>
      <c r="G33" s="25">
        <f t="shared" si="3"/>
        <v>2.7908496732026142</v>
      </c>
    </row>
    <row r="34" spans="1:7" ht="27" x14ac:dyDescent="0.5">
      <c r="A34" s="24">
        <v>28</v>
      </c>
      <c r="B34" s="18" t="s">
        <v>365</v>
      </c>
      <c r="C34" s="19" t="s">
        <v>92</v>
      </c>
      <c r="D34" s="20">
        <v>13.5</v>
      </c>
      <c r="E34" s="60">
        <v>23</v>
      </c>
      <c r="F34" s="17">
        <f t="shared" si="2"/>
        <v>9.5</v>
      </c>
      <c r="G34" s="25">
        <f t="shared" si="3"/>
        <v>0.70370370370370372</v>
      </c>
    </row>
    <row r="35" spans="1:7" ht="27" x14ac:dyDescent="0.5">
      <c r="A35" s="24">
        <v>29</v>
      </c>
      <c r="B35" s="6" t="s">
        <v>432</v>
      </c>
      <c r="C35" s="21" t="s">
        <v>94</v>
      </c>
      <c r="D35" s="22">
        <v>13.5</v>
      </c>
      <c r="E35" s="60">
        <v>23</v>
      </c>
      <c r="F35" s="17">
        <f t="shared" si="2"/>
        <v>9.5</v>
      </c>
      <c r="G35" s="25">
        <f t="shared" si="3"/>
        <v>0.70370370370370372</v>
      </c>
    </row>
    <row r="36" spans="1:7" ht="27" x14ac:dyDescent="0.5">
      <c r="A36" s="24">
        <v>30</v>
      </c>
      <c r="B36" s="6" t="s">
        <v>433</v>
      </c>
      <c r="C36" s="21" t="s">
        <v>100</v>
      </c>
      <c r="D36" s="22">
        <v>22</v>
      </c>
      <c r="E36" s="60">
        <v>37.4</v>
      </c>
      <c r="F36" s="17">
        <f t="shared" si="2"/>
        <v>15.399999999999999</v>
      </c>
      <c r="G36" s="25">
        <f t="shared" si="3"/>
        <v>0.7</v>
      </c>
    </row>
    <row r="37" spans="1:7" ht="27" x14ac:dyDescent="0.5">
      <c r="A37" s="24">
        <v>31</v>
      </c>
      <c r="B37" s="6" t="s">
        <v>434</v>
      </c>
      <c r="C37" s="19" t="s">
        <v>101</v>
      </c>
      <c r="D37" s="20">
        <v>2.7</v>
      </c>
      <c r="E37" s="60">
        <v>6</v>
      </c>
      <c r="F37" s="17">
        <f t="shared" si="2"/>
        <v>3.3</v>
      </c>
      <c r="G37" s="25">
        <f t="shared" si="3"/>
        <v>1.2222222222222219</v>
      </c>
    </row>
    <row r="38" spans="1:7" ht="27" x14ac:dyDescent="0.5">
      <c r="A38" s="24">
        <v>32</v>
      </c>
      <c r="B38" s="6" t="s">
        <v>366</v>
      </c>
      <c r="C38" s="19" t="s">
        <v>106</v>
      </c>
      <c r="D38" s="20">
        <v>7.23</v>
      </c>
      <c r="E38" s="60">
        <v>12.3</v>
      </c>
      <c r="F38" s="17">
        <f t="shared" si="2"/>
        <v>5.07</v>
      </c>
      <c r="G38" s="25">
        <f t="shared" si="3"/>
        <v>0.70124481327800825</v>
      </c>
    </row>
    <row r="39" spans="1:7" ht="27" x14ac:dyDescent="0.5">
      <c r="A39" s="24">
        <v>33</v>
      </c>
      <c r="B39" s="23"/>
      <c r="C39" s="21" t="s">
        <v>107</v>
      </c>
      <c r="D39" s="22">
        <v>7.23</v>
      </c>
      <c r="E39" s="60">
        <f>D39*170%</f>
        <v>12.291</v>
      </c>
      <c r="F39" s="17">
        <f t="shared" si="2"/>
        <v>5.0609999999999999</v>
      </c>
      <c r="G39" s="25">
        <f t="shared" si="3"/>
        <v>0.7</v>
      </c>
    </row>
    <row r="40" spans="1:7" ht="27" x14ac:dyDescent="0.5">
      <c r="A40" s="24">
        <v>34</v>
      </c>
      <c r="B40" s="18"/>
      <c r="C40" s="19" t="s">
        <v>108</v>
      </c>
      <c r="D40" s="20">
        <v>7.23</v>
      </c>
      <c r="E40" s="60">
        <f>D40*170%</f>
        <v>12.291</v>
      </c>
      <c r="F40" s="17">
        <f t="shared" si="2"/>
        <v>5.0609999999999999</v>
      </c>
      <c r="G40" s="25">
        <f t="shared" si="3"/>
        <v>0.7</v>
      </c>
    </row>
    <row r="41" spans="1:7" ht="27" x14ac:dyDescent="0.5">
      <c r="A41" s="24">
        <v>35</v>
      </c>
      <c r="B41" s="6" t="s">
        <v>435</v>
      </c>
      <c r="C41" s="21" t="s">
        <v>110</v>
      </c>
      <c r="D41" s="22">
        <v>26.4</v>
      </c>
      <c r="E41" s="60">
        <v>45</v>
      </c>
      <c r="F41" s="17">
        <f t="shared" si="2"/>
        <v>18.600000000000001</v>
      </c>
      <c r="G41" s="25">
        <f t="shared" si="3"/>
        <v>0.70454545454545459</v>
      </c>
    </row>
    <row r="42" spans="1:7" ht="26.25" x14ac:dyDescent="0.25">
      <c r="A42" s="70" t="s">
        <v>498</v>
      </c>
      <c r="B42" s="71"/>
      <c r="C42" s="71"/>
      <c r="D42" s="71"/>
      <c r="E42" s="71"/>
      <c r="F42" s="71"/>
      <c r="G42" s="72"/>
    </row>
    <row r="43" spans="1:7" ht="27" x14ac:dyDescent="0.5">
      <c r="A43" s="24">
        <v>36</v>
      </c>
      <c r="B43" s="18" t="s">
        <v>499</v>
      </c>
      <c r="C43" s="19" t="s">
        <v>127</v>
      </c>
      <c r="D43" s="20">
        <v>25</v>
      </c>
      <c r="E43" s="60">
        <v>45</v>
      </c>
      <c r="F43" s="17">
        <f>E43-D43</f>
        <v>20</v>
      </c>
      <c r="G43" s="25">
        <f>E43/D43-100%</f>
        <v>0.8</v>
      </c>
    </row>
    <row r="44" spans="1:7" ht="27" x14ac:dyDescent="0.5">
      <c r="A44" s="24">
        <v>37</v>
      </c>
      <c r="B44" s="6" t="s">
        <v>436</v>
      </c>
      <c r="C44" s="21" t="s">
        <v>128</v>
      </c>
      <c r="D44" s="22">
        <v>20</v>
      </c>
      <c r="E44" s="60">
        <v>34</v>
      </c>
      <c r="F44" s="17">
        <f>E44-D44</f>
        <v>14</v>
      </c>
      <c r="G44" s="25">
        <f>E44/D44-100%</f>
        <v>0.7</v>
      </c>
    </row>
    <row r="45" spans="1:7" ht="27" x14ac:dyDescent="0.5">
      <c r="A45" s="24">
        <v>38</v>
      </c>
      <c r="B45" s="6" t="s">
        <v>437</v>
      </c>
      <c r="C45" s="19" t="s">
        <v>129</v>
      </c>
      <c r="D45" s="20">
        <v>20</v>
      </c>
      <c r="E45" s="60">
        <v>34</v>
      </c>
      <c r="F45" s="17">
        <f>E45-D45</f>
        <v>14</v>
      </c>
      <c r="G45" s="25">
        <f>E45/D45-100%</f>
        <v>0.7</v>
      </c>
    </row>
    <row r="46" spans="1:7" ht="27" x14ac:dyDescent="0.5">
      <c r="A46" s="24">
        <v>39</v>
      </c>
      <c r="B46" s="23" t="s">
        <v>438</v>
      </c>
      <c r="C46" s="21" t="s">
        <v>130</v>
      </c>
      <c r="D46" s="22">
        <v>5</v>
      </c>
      <c r="E46" s="60">
        <v>10</v>
      </c>
      <c r="F46" s="17">
        <f>E46-D46</f>
        <v>5</v>
      </c>
      <c r="G46" s="25">
        <f>E46/D46-100%</f>
        <v>1</v>
      </c>
    </row>
    <row r="47" spans="1:7" ht="26.25" x14ac:dyDescent="0.25">
      <c r="A47" s="70" t="s">
        <v>500</v>
      </c>
      <c r="B47" s="71"/>
      <c r="C47" s="71"/>
      <c r="D47" s="71"/>
      <c r="E47" s="71"/>
      <c r="F47" s="71"/>
      <c r="G47" s="72"/>
    </row>
    <row r="48" spans="1:7" ht="27" x14ac:dyDescent="0.5">
      <c r="A48" s="24">
        <v>40</v>
      </c>
      <c r="B48" s="18"/>
      <c r="C48" s="37" t="s">
        <v>138</v>
      </c>
      <c r="D48" s="20">
        <v>28</v>
      </c>
      <c r="E48" s="60">
        <f>D48*170%</f>
        <v>47.6</v>
      </c>
      <c r="F48" s="17">
        <f>E48-D48</f>
        <v>19.600000000000001</v>
      </c>
      <c r="G48" s="25">
        <f>E48/D48-100%</f>
        <v>0.7</v>
      </c>
    </row>
    <row r="49" spans="1:7" ht="27" x14ac:dyDescent="0.5">
      <c r="A49" s="24">
        <v>41</v>
      </c>
      <c r="B49" s="23" t="s">
        <v>439</v>
      </c>
      <c r="C49" s="36" t="s">
        <v>139</v>
      </c>
      <c r="D49" s="22">
        <v>26</v>
      </c>
      <c r="E49" s="60">
        <f>D49*170%</f>
        <v>44.199999999999996</v>
      </c>
      <c r="F49" s="17">
        <f>E49-D49</f>
        <v>18.199999999999996</v>
      </c>
      <c r="G49" s="25">
        <f>E49/D49-100%</f>
        <v>0.69999999999999973</v>
      </c>
    </row>
    <row r="50" spans="1:7" ht="27" x14ac:dyDescent="0.5">
      <c r="A50" s="24">
        <v>42</v>
      </c>
      <c r="B50" s="6" t="s">
        <v>440</v>
      </c>
      <c r="C50" s="19" t="s">
        <v>143</v>
      </c>
      <c r="D50" s="20">
        <v>8</v>
      </c>
      <c r="E50" s="60">
        <v>33.5</v>
      </c>
      <c r="F50" s="17">
        <f>E50-D50</f>
        <v>25.5</v>
      </c>
      <c r="G50" s="25">
        <f>E50/D50-100%</f>
        <v>3.1875</v>
      </c>
    </row>
    <row r="51" spans="1:7" ht="27" x14ac:dyDescent="0.5">
      <c r="A51" s="24">
        <v>43</v>
      </c>
      <c r="B51" s="6" t="s">
        <v>441</v>
      </c>
      <c r="C51" s="21" t="s">
        <v>144</v>
      </c>
      <c r="D51" s="22">
        <v>21.6</v>
      </c>
      <c r="E51" s="60">
        <v>38</v>
      </c>
      <c r="F51" s="17">
        <f>E51-D51</f>
        <v>16.399999999999999</v>
      </c>
      <c r="G51" s="25">
        <f>E51/D51-100%</f>
        <v>0.75925925925925908</v>
      </c>
    </row>
    <row r="52" spans="1:7" ht="26.25" x14ac:dyDescent="0.25">
      <c r="A52" s="70" t="s">
        <v>501</v>
      </c>
      <c r="B52" s="71"/>
      <c r="C52" s="71"/>
      <c r="D52" s="71"/>
      <c r="E52" s="71"/>
      <c r="F52" s="71"/>
      <c r="G52" s="72"/>
    </row>
    <row r="53" spans="1:7" ht="27" x14ac:dyDescent="0.5">
      <c r="A53" s="24">
        <v>44</v>
      </c>
      <c r="B53" s="6" t="s">
        <v>369</v>
      </c>
      <c r="C53" s="19" t="s">
        <v>149</v>
      </c>
      <c r="D53" s="20">
        <v>20</v>
      </c>
      <c r="E53" s="60">
        <f>D53*170%</f>
        <v>34</v>
      </c>
      <c r="F53" s="17">
        <f t="shared" ref="F53:F62" si="4">E53-D53</f>
        <v>14</v>
      </c>
      <c r="G53" s="25">
        <f t="shared" ref="G53:G62" si="5">E53/D53-100%</f>
        <v>0.7</v>
      </c>
    </row>
    <row r="54" spans="1:7" ht="27" x14ac:dyDescent="0.5">
      <c r="A54" s="24">
        <v>45</v>
      </c>
      <c r="B54" s="6" t="s">
        <v>370</v>
      </c>
      <c r="C54" s="36" t="s">
        <v>150</v>
      </c>
      <c r="D54" s="22">
        <v>18</v>
      </c>
      <c r="E54" s="60">
        <f>D54*170%</f>
        <v>30.599999999999998</v>
      </c>
      <c r="F54" s="17">
        <f t="shared" si="4"/>
        <v>12.599999999999998</v>
      </c>
      <c r="G54" s="25">
        <f t="shared" si="5"/>
        <v>0.7</v>
      </c>
    </row>
    <row r="55" spans="1:7" ht="27" x14ac:dyDescent="0.5">
      <c r="A55" s="24">
        <v>46</v>
      </c>
      <c r="B55" s="18"/>
      <c r="C55" s="37" t="s">
        <v>151</v>
      </c>
      <c r="D55" s="20">
        <v>18</v>
      </c>
      <c r="E55" s="60">
        <f>D55*170%</f>
        <v>30.599999999999998</v>
      </c>
      <c r="F55" s="17">
        <f t="shared" si="4"/>
        <v>12.599999999999998</v>
      </c>
      <c r="G55" s="25">
        <f t="shared" si="5"/>
        <v>0.7</v>
      </c>
    </row>
    <row r="56" spans="1:7" ht="27" x14ac:dyDescent="0.5">
      <c r="A56" s="24">
        <v>47</v>
      </c>
      <c r="B56" s="6" t="s">
        <v>372</v>
      </c>
      <c r="C56" s="21" t="s">
        <v>154</v>
      </c>
      <c r="D56" s="22">
        <v>35</v>
      </c>
      <c r="E56" s="60">
        <f>D56*170%</f>
        <v>59.5</v>
      </c>
      <c r="F56" s="17">
        <f t="shared" si="4"/>
        <v>24.5</v>
      </c>
      <c r="G56" s="25">
        <f t="shared" si="5"/>
        <v>0.7</v>
      </c>
    </row>
    <row r="57" spans="1:7" ht="27" x14ac:dyDescent="0.5">
      <c r="A57" s="24">
        <v>48</v>
      </c>
      <c r="B57" s="6" t="s">
        <v>442</v>
      </c>
      <c r="C57" s="19" t="s">
        <v>155</v>
      </c>
      <c r="D57" s="20">
        <v>7.23</v>
      </c>
      <c r="E57" s="60">
        <v>13</v>
      </c>
      <c r="F57" s="17">
        <f t="shared" si="4"/>
        <v>5.77</v>
      </c>
      <c r="G57" s="25">
        <f t="shared" si="5"/>
        <v>0.7980636237897647</v>
      </c>
    </row>
    <row r="58" spans="1:7" ht="27" x14ac:dyDescent="0.5">
      <c r="A58" s="24">
        <v>49</v>
      </c>
      <c r="B58" s="6" t="s">
        <v>443</v>
      </c>
      <c r="C58" s="21" t="s">
        <v>162</v>
      </c>
      <c r="D58" s="22">
        <v>8</v>
      </c>
      <c r="E58" s="60">
        <v>57</v>
      </c>
      <c r="F58" s="17">
        <f t="shared" si="4"/>
        <v>49</v>
      </c>
      <c r="G58" s="25">
        <f t="shared" si="5"/>
        <v>6.125</v>
      </c>
    </row>
    <row r="59" spans="1:7" ht="27" x14ac:dyDescent="0.5">
      <c r="A59" s="24">
        <v>50</v>
      </c>
      <c r="B59" s="6" t="s">
        <v>444</v>
      </c>
      <c r="C59" s="19" t="s">
        <v>163</v>
      </c>
      <c r="D59" s="20">
        <v>10.16</v>
      </c>
      <c r="E59" s="60">
        <v>28</v>
      </c>
      <c r="F59" s="17">
        <f t="shared" si="4"/>
        <v>17.84</v>
      </c>
      <c r="G59" s="25">
        <f t="shared" si="5"/>
        <v>1.7559055118110236</v>
      </c>
    </row>
    <row r="60" spans="1:7" ht="27" x14ac:dyDescent="0.5">
      <c r="A60" s="24">
        <v>51</v>
      </c>
      <c r="B60" s="6" t="s">
        <v>445</v>
      </c>
      <c r="C60" s="21" t="s">
        <v>164</v>
      </c>
      <c r="D60" s="22">
        <v>20</v>
      </c>
      <c r="E60" s="60">
        <f>D60*170%</f>
        <v>34</v>
      </c>
      <c r="F60" s="17">
        <f t="shared" si="4"/>
        <v>14</v>
      </c>
      <c r="G60" s="25">
        <f t="shared" si="5"/>
        <v>0.7</v>
      </c>
    </row>
    <row r="61" spans="1:7" ht="27" x14ac:dyDescent="0.5">
      <c r="A61" s="24">
        <v>52</v>
      </c>
      <c r="B61" s="6" t="s">
        <v>446</v>
      </c>
      <c r="C61" s="19" t="s">
        <v>165</v>
      </c>
      <c r="D61" s="20">
        <v>20</v>
      </c>
      <c r="E61" s="60">
        <f>D61*170%</f>
        <v>34</v>
      </c>
      <c r="F61" s="17">
        <f t="shared" si="4"/>
        <v>14</v>
      </c>
      <c r="G61" s="25">
        <f t="shared" si="5"/>
        <v>0.7</v>
      </c>
    </row>
    <row r="62" spans="1:7" ht="27" x14ac:dyDescent="0.5">
      <c r="A62" s="24">
        <v>53</v>
      </c>
      <c r="B62" s="6" t="s">
        <v>447</v>
      </c>
      <c r="C62" s="21" t="s">
        <v>166</v>
      </c>
      <c r="D62" s="22">
        <v>26</v>
      </c>
      <c r="E62" s="60">
        <v>61</v>
      </c>
      <c r="F62" s="17">
        <f t="shared" si="4"/>
        <v>35</v>
      </c>
      <c r="G62" s="25">
        <f t="shared" si="5"/>
        <v>1.3461538461538463</v>
      </c>
    </row>
    <row r="63" spans="1:7" ht="26.25" x14ac:dyDescent="0.25">
      <c r="A63" s="70" t="s">
        <v>502</v>
      </c>
      <c r="B63" s="71"/>
      <c r="C63" s="71"/>
      <c r="D63" s="71"/>
      <c r="E63" s="71"/>
      <c r="F63" s="71"/>
      <c r="G63" s="72"/>
    </row>
    <row r="64" spans="1:7" ht="27" x14ac:dyDescent="0.5">
      <c r="A64" s="24">
        <v>54</v>
      </c>
      <c r="B64" s="6" t="s">
        <v>448</v>
      </c>
      <c r="C64" s="19" t="s">
        <v>167</v>
      </c>
      <c r="D64" s="20">
        <v>3.15</v>
      </c>
      <c r="E64" s="60">
        <v>8.5</v>
      </c>
      <c r="F64" s="17">
        <f>E64-D64</f>
        <v>5.35</v>
      </c>
      <c r="G64" s="25">
        <f>E64/D64-100%</f>
        <v>1.6984126984126986</v>
      </c>
    </row>
    <row r="65" spans="1:7" ht="27" x14ac:dyDescent="0.5">
      <c r="A65" s="24">
        <v>55</v>
      </c>
      <c r="B65" s="6" t="s">
        <v>449</v>
      </c>
      <c r="C65" s="21" t="s">
        <v>168</v>
      </c>
      <c r="D65" s="22">
        <v>45</v>
      </c>
      <c r="E65" s="60">
        <v>79.5</v>
      </c>
      <c r="F65" s="17">
        <f>E65-D65</f>
        <v>34.5</v>
      </c>
      <c r="G65" s="25">
        <f>E65/D65-100%</f>
        <v>0.76666666666666661</v>
      </c>
    </row>
    <row r="66" spans="1:7" ht="27" x14ac:dyDescent="0.5">
      <c r="A66" s="24">
        <v>56</v>
      </c>
      <c r="B66" s="18" t="s">
        <v>503</v>
      </c>
      <c r="C66" s="19" t="s">
        <v>170</v>
      </c>
      <c r="D66" s="20">
        <v>2.7</v>
      </c>
      <c r="E66" s="61">
        <v>6</v>
      </c>
      <c r="F66" s="17">
        <f>E66-D66</f>
        <v>3.3</v>
      </c>
      <c r="G66" s="25">
        <f>E66/D66-100%</f>
        <v>1.2222222222222219</v>
      </c>
    </row>
    <row r="67" spans="1:7" ht="27" x14ac:dyDescent="0.5">
      <c r="A67" s="24">
        <v>57</v>
      </c>
      <c r="B67" s="6" t="s">
        <v>450</v>
      </c>
      <c r="C67" s="21" t="s">
        <v>172</v>
      </c>
      <c r="D67" s="22">
        <v>30</v>
      </c>
      <c r="E67" s="60">
        <f>D67*170%</f>
        <v>51</v>
      </c>
      <c r="F67" s="17">
        <f>E67-D67</f>
        <v>21</v>
      </c>
      <c r="G67" s="25">
        <f>E67/D67-100%</f>
        <v>0.7</v>
      </c>
    </row>
    <row r="68" spans="1:7" ht="26.25" x14ac:dyDescent="0.25">
      <c r="A68" s="70" t="s">
        <v>504</v>
      </c>
      <c r="B68" s="71"/>
      <c r="C68" s="71"/>
      <c r="D68" s="71"/>
      <c r="E68" s="71"/>
      <c r="F68" s="71"/>
      <c r="G68" s="72"/>
    </row>
    <row r="69" spans="1:7" ht="27" x14ac:dyDescent="0.5">
      <c r="A69" s="24">
        <v>58</v>
      </c>
      <c r="B69" s="23" t="s">
        <v>177</v>
      </c>
      <c r="C69" s="21" t="s">
        <v>177</v>
      </c>
      <c r="D69" s="22">
        <v>8</v>
      </c>
      <c r="E69" s="60">
        <v>24.5</v>
      </c>
      <c r="F69" s="17">
        <f t="shared" ref="F69:F87" si="6">E69-D69</f>
        <v>16.5</v>
      </c>
      <c r="G69" s="25">
        <f t="shared" ref="G69:G87" si="7">E69/D69-100%</f>
        <v>2.0625</v>
      </c>
    </row>
    <row r="70" spans="1:7" ht="27" x14ac:dyDescent="0.5">
      <c r="A70" s="24">
        <v>59</v>
      </c>
      <c r="B70" s="6" t="s">
        <v>377</v>
      </c>
      <c r="C70" s="21" t="s">
        <v>181</v>
      </c>
      <c r="D70" s="22">
        <v>13.5</v>
      </c>
      <c r="E70" s="60">
        <v>23</v>
      </c>
      <c r="F70" s="17">
        <f t="shared" si="6"/>
        <v>9.5</v>
      </c>
      <c r="G70" s="25">
        <f t="shared" si="7"/>
        <v>0.70370370370370372</v>
      </c>
    </row>
    <row r="71" spans="1:7" ht="27" x14ac:dyDescent="0.5">
      <c r="A71" s="24">
        <v>60</v>
      </c>
      <c r="B71" s="18"/>
      <c r="C71" s="19" t="s">
        <v>182</v>
      </c>
      <c r="D71" s="20">
        <v>13.5</v>
      </c>
      <c r="E71" s="61">
        <v>23</v>
      </c>
      <c r="F71" s="17">
        <f t="shared" si="6"/>
        <v>9.5</v>
      </c>
      <c r="G71" s="25">
        <f t="shared" si="7"/>
        <v>0.70370370370370372</v>
      </c>
    </row>
    <row r="72" spans="1:7" ht="27" x14ac:dyDescent="0.5">
      <c r="A72" s="24">
        <v>61</v>
      </c>
      <c r="B72" s="23" t="s">
        <v>379</v>
      </c>
      <c r="C72" s="21" t="s">
        <v>185</v>
      </c>
      <c r="D72" s="22">
        <v>5.5</v>
      </c>
      <c r="E72" s="60">
        <v>13</v>
      </c>
      <c r="F72" s="17">
        <f t="shared" si="6"/>
        <v>7.5</v>
      </c>
      <c r="G72" s="25">
        <f t="shared" si="7"/>
        <v>1.3636363636363638</v>
      </c>
    </row>
    <row r="73" spans="1:7" ht="27" x14ac:dyDescent="0.5">
      <c r="A73" s="24">
        <v>62</v>
      </c>
      <c r="B73" s="18" t="s">
        <v>380</v>
      </c>
      <c r="C73" s="19" t="s">
        <v>187</v>
      </c>
      <c r="D73" s="20">
        <v>5</v>
      </c>
      <c r="E73" s="61">
        <f>D73*170%</f>
        <v>8.5</v>
      </c>
      <c r="F73" s="17">
        <f t="shared" si="6"/>
        <v>3.5</v>
      </c>
      <c r="G73" s="25">
        <f t="shared" si="7"/>
        <v>0.7</v>
      </c>
    </row>
    <row r="74" spans="1:7" ht="27" x14ac:dyDescent="0.5">
      <c r="A74" s="24">
        <v>63</v>
      </c>
      <c r="B74" s="6" t="s">
        <v>451</v>
      </c>
      <c r="C74" s="21" t="s">
        <v>188</v>
      </c>
      <c r="D74" s="22">
        <v>20</v>
      </c>
      <c r="E74" s="60">
        <v>43</v>
      </c>
      <c r="F74" s="17">
        <f t="shared" si="6"/>
        <v>23</v>
      </c>
      <c r="G74" s="25">
        <f t="shared" si="7"/>
        <v>1.1499999999999999</v>
      </c>
    </row>
    <row r="75" spans="1:7" ht="27" x14ac:dyDescent="0.5">
      <c r="A75" s="24">
        <v>64</v>
      </c>
      <c r="B75" s="6" t="s">
        <v>452</v>
      </c>
      <c r="C75" s="19" t="s">
        <v>189</v>
      </c>
      <c r="D75" s="20">
        <v>23</v>
      </c>
      <c r="E75" s="61">
        <v>51.5</v>
      </c>
      <c r="F75" s="17">
        <f t="shared" si="6"/>
        <v>28.5</v>
      </c>
      <c r="G75" s="25">
        <f t="shared" si="7"/>
        <v>1.2391304347826089</v>
      </c>
    </row>
    <row r="76" spans="1:7" ht="27" x14ac:dyDescent="0.5">
      <c r="A76" s="24">
        <v>65</v>
      </c>
      <c r="B76" s="6" t="s">
        <v>453</v>
      </c>
      <c r="C76" s="21" t="s">
        <v>190</v>
      </c>
      <c r="D76" s="22">
        <v>27</v>
      </c>
      <c r="E76" s="60">
        <f>D76*170%</f>
        <v>45.9</v>
      </c>
      <c r="F76" s="17">
        <f t="shared" si="6"/>
        <v>18.899999999999999</v>
      </c>
      <c r="G76" s="25">
        <f t="shared" si="7"/>
        <v>0.7</v>
      </c>
    </row>
    <row r="77" spans="1:7" ht="27" x14ac:dyDescent="0.5">
      <c r="A77" s="24">
        <v>66</v>
      </c>
      <c r="B77" s="6" t="s">
        <v>454</v>
      </c>
      <c r="C77" s="19" t="s">
        <v>191</v>
      </c>
      <c r="D77" s="20">
        <v>22</v>
      </c>
      <c r="E77" s="61">
        <v>38</v>
      </c>
      <c r="F77" s="17">
        <f t="shared" si="6"/>
        <v>16</v>
      </c>
      <c r="G77" s="25">
        <f t="shared" si="7"/>
        <v>0.72727272727272729</v>
      </c>
    </row>
    <row r="78" spans="1:7" ht="27" x14ac:dyDescent="0.5">
      <c r="A78" s="24">
        <v>67</v>
      </c>
      <c r="B78" s="6" t="s">
        <v>455</v>
      </c>
      <c r="C78" s="21" t="s">
        <v>192</v>
      </c>
      <c r="D78" s="22">
        <v>11.25</v>
      </c>
      <c r="E78" s="60">
        <v>27.5</v>
      </c>
      <c r="F78" s="17">
        <f t="shared" si="6"/>
        <v>16.25</v>
      </c>
      <c r="G78" s="25">
        <f t="shared" si="7"/>
        <v>1.4444444444444446</v>
      </c>
    </row>
    <row r="79" spans="1:7" ht="27" x14ac:dyDescent="0.5">
      <c r="A79" s="24">
        <v>68</v>
      </c>
      <c r="B79" s="6" t="s">
        <v>456</v>
      </c>
      <c r="C79" s="37" t="s">
        <v>193</v>
      </c>
      <c r="D79" s="20">
        <v>30</v>
      </c>
      <c r="E79" s="61">
        <f>D79*170%</f>
        <v>51</v>
      </c>
      <c r="F79" s="17">
        <f t="shared" si="6"/>
        <v>21</v>
      </c>
      <c r="G79" s="25">
        <f t="shared" si="7"/>
        <v>0.7</v>
      </c>
    </row>
    <row r="80" spans="1:7" ht="27" x14ac:dyDescent="0.5">
      <c r="A80" s="24">
        <v>69</v>
      </c>
      <c r="B80" s="6" t="s">
        <v>457</v>
      </c>
      <c r="C80" s="21" t="s">
        <v>194</v>
      </c>
      <c r="D80" s="22">
        <v>34</v>
      </c>
      <c r="E80" s="60">
        <f>D80*170%</f>
        <v>57.8</v>
      </c>
      <c r="F80" s="17">
        <f t="shared" si="6"/>
        <v>23.799999999999997</v>
      </c>
      <c r="G80" s="25">
        <f t="shared" si="7"/>
        <v>0.7</v>
      </c>
    </row>
    <row r="81" spans="1:7" ht="27" x14ac:dyDescent="0.5">
      <c r="A81" s="24">
        <v>70</v>
      </c>
      <c r="B81" s="6" t="s">
        <v>458</v>
      </c>
      <c r="C81" s="19" t="s">
        <v>195</v>
      </c>
      <c r="D81" s="20">
        <v>11.25</v>
      </c>
      <c r="E81" s="61">
        <v>26</v>
      </c>
      <c r="F81" s="17">
        <f t="shared" si="6"/>
        <v>14.75</v>
      </c>
      <c r="G81" s="25">
        <f t="shared" si="7"/>
        <v>1.3111111111111109</v>
      </c>
    </row>
    <row r="82" spans="1:7" ht="27" x14ac:dyDescent="0.5">
      <c r="A82" s="24">
        <v>71</v>
      </c>
      <c r="B82" s="23"/>
      <c r="C82" s="21" t="s">
        <v>196</v>
      </c>
      <c r="D82" s="22">
        <v>11.25</v>
      </c>
      <c r="E82" s="60">
        <v>26</v>
      </c>
      <c r="F82" s="17">
        <f t="shared" si="6"/>
        <v>14.75</v>
      </c>
      <c r="G82" s="25">
        <f t="shared" si="7"/>
        <v>1.3111111111111109</v>
      </c>
    </row>
    <row r="83" spans="1:7" ht="27" x14ac:dyDescent="0.5">
      <c r="A83" s="24">
        <v>72</v>
      </c>
      <c r="B83" s="6" t="s">
        <v>459</v>
      </c>
      <c r="C83" s="19" t="s">
        <v>197</v>
      </c>
      <c r="D83" s="20">
        <v>21.9</v>
      </c>
      <c r="E83" s="61">
        <v>54.5</v>
      </c>
      <c r="F83" s="17">
        <f t="shared" si="6"/>
        <v>32.6</v>
      </c>
      <c r="G83" s="25">
        <f t="shared" si="7"/>
        <v>1.4885844748858448</v>
      </c>
    </row>
    <row r="84" spans="1:7" ht="27" x14ac:dyDescent="0.5">
      <c r="A84" s="24">
        <v>73</v>
      </c>
      <c r="B84" s="23"/>
      <c r="C84" s="21" t="s">
        <v>198</v>
      </c>
      <c r="D84" s="22">
        <v>21.9</v>
      </c>
      <c r="E84" s="60">
        <v>54.5</v>
      </c>
      <c r="F84" s="17">
        <f t="shared" si="6"/>
        <v>32.6</v>
      </c>
      <c r="G84" s="25">
        <f t="shared" si="7"/>
        <v>1.4885844748858448</v>
      </c>
    </row>
    <row r="85" spans="1:7" ht="27" x14ac:dyDescent="0.5">
      <c r="A85" s="24">
        <v>74</v>
      </c>
      <c r="B85" s="6" t="s">
        <v>460</v>
      </c>
      <c r="C85" s="19" t="s">
        <v>205</v>
      </c>
      <c r="D85" s="20">
        <v>28</v>
      </c>
      <c r="E85" s="61">
        <v>69</v>
      </c>
      <c r="F85" s="17">
        <f t="shared" si="6"/>
        <v>41</v>
      </c>
      <c r="G85" s="25">
        <f t="shared" si="7"/>
        <v>1.4642857142857144</v>
      </c>
    </row>
    <row r="86" spans="1:7" ht="27" x14ac:dyDescent="0.5">
      <c r="A86" s="24">
        <v>75</v>
      </c>
      <c r="B86" s="23"/>
      <c r="C86" s="21" t="s">
        <v>206</v>
      </c>
      <c r="D86" s="22">
        <v>28</v>
      </c>
      <c r="E86" s="60">
        <v>69</v>
      </c>
      <c r="F86" s="17">
        <f t="shared" si="6"/>
        <v>41</v>
      </c>
      <c r="G86" s="25">
        <f t="shared" si="7"/>
        <v>1.4642857142857144</v>
      </c>
    </row>
    <row r="87" spans="1:7" ht="27" x14ac:dyDescent="0.5">
      <c r="A87" s="24">
        <v>76</v>
      </c>
      <c r="B87" s="18" t="s">
        <v>461</v>
      </c>
      <c r="C87" s="37" t="s">
        <v>207</v>
      </c>
      <c r="D87" s="20">
        <v>60</v>
      </c>
      <c r="E87" s="61">
        <f>D87*170%</f>
        <v>102</v>
      </c>
      <c r="F87" s="17">
        <f t="shared" si="6"/>
        <v>42</v>
      </c>
      <c r="G87" s="25">
        <f t="shared" si="7"/>
        <v>0.7</v>
      </c>
    </row>
    <row r="88" spans="1:7" ht="26.25" x14ac:dyDescent="0.25">
      <c r="A88" s="70" t="s">
        <v>505</v>
      </c>
      <c r="B88" s="71"/>
      <c r="C88" s="71"/>
      <c r="D88" s="71"/>
      <c r="E88" s="71"/>
      <c r="F88" s="71"/>
      <c r="G88" s="72"/>
    </row>
    <row r="89" spans="1:7" ht="27" x14ac:dyDescent="0.5">
      <c r="A89" s="24">
        <v>77</v>
      </c>
      <c r="B89" s="23"/>
      <c r="C89" s="36" t="s">
        <v>209</v>
      </c>
      <c r="D89" s="22">
        <v>30</v>
      </c>
      <c r="E89" s="60">
        <f t="shared" ref="E89:E96" si="8">D89*170%</f>
        <v>51</v>
      </c>
      <c r="F89" s="17">
        <f t="shared" ref="F89:F96" si="9">E89-D89</f>
        <v>21</v>
      </c>
      <c r="G89" s="25">
        <f t="shared" ref="G89:G96" si="10">E89/D89-100%</f>
        <v>0.7</v>
      </c>
    </row>
    <row r="90" spans="1:7" ht="27" x14ac:dyDescent="0.5">
      <c r="A90" s="24">
        <v>78</v>
      </c>
      <c r="B90" s="18"/>
      <c r="C90" s="19" t="s">
        <v>210</v>
      </c>
      <c r="D90" s="20">
        <v>25</v>
      </c>
      <c r="E90" s="61">
        <f t="shared" si="8"/>
        <v>42.5</v>
      </c>
      <c r="F90" s="17">
        <f t="shared" si="9"/>
        <v>17.5</v>
      </c>
      <c r="G90" s="25">
        <f t="shared" si="10"/>
        <v>0.7</v>
      </c>
    </row>
    <row r="91" spans="1:7" ht="27" x14ac:dyDescent="0.5">
      <c r="A91" s="24">
        <v>79</v>
      </c>
      <c r="B91" s="23"/>
      <c r="C91" s="36" t="s">
        <v>211</v>
      </c>
      <c r="D91" s="22">
        <v>33</v>
      </c>
      <c r="E91" s="60">
        <f t="shared" si="8"/>
        <v>56.1</v>
      </c>
      <c r="F91" s="17">
        <f t="shared" si="9"/>
        <v>23.1</v>
      </c>
      <c r="G91" s="25">
        <f t="shared" si="10"/>
        <v>0.7</v>
      </c>
    </row>
    <row r="92" spans="1:7" ht="27" x14ac:dyDescent="0.5">
      <c r="A92" s="24">
        <v>80</v>
      </c>
      <c r="B92" s="18"/>
      <c r="C92" s="19" t="s">
        <v>212</v>
      </c>
      <c r="D92" s="20">
        <v>25</v>
      </c>
      <c r="E92" s="61">
        <f t="shared" si="8"/>
        <v>42.5</v>
      </c>
      <c r="F92" s="17">
        <f t="shared" si="9"/>
        <v>17.5</v>
      </c>
      <c r="G92" s="25">
        <f t="shared" si="10"/>
        <v>0.7</v>
      </c>
    </row>
    <row r="93" spans="1:7" ht="27" x14ac:dyDescent="0.5">
      <c r="A93" s="24">
        <v>81</v>
      </c>
      <c r="B93" s="23"/>
      <c r="C93" s="36" t="s">
        <v>213</v>
      </c>
      <c r="D93" s="22">
        <v>33</v>
      </c>
      <c r="E93" s="60">
        <f t="shared" si="8"/>
        <v>56.1</v>
      </c>
      <c r="F93" s="17">
        <f t="shared" si="9"/>
        <v>23.1</v>
      </c>
      <c r="G93" s="25">
        <f t="shared" si="10"/>
        <v>0.7</v>
      </c>
    </row>
    <row r="94" spans="1:7" ht="27" x14ac:dyDescent="0.5">
      <c r="A94" s="24">
        <v>82</v>
      </c>
      <c r="B94" s="18"/>
      <c r="C94" s="19" t="s">
        <v>214</v>
      </c>
      <c r="D94" s="20">
        <v>15</v>
      </c>
      <c r="E94" s="61">
        <f t="shared" si="8"/>
        <v>25.5</v>
      </c>
      <c r="F94" s="17">
        <f t="shared" si="9"/>
        <v>10.5</v>
      </c>
      <c r="G94" s="25">
        <f t="shared" si="10"/>
        <v>0.7</v>
      </c>
    </row>
    <row r="95" spans="1:7" ht="27" x14ac:dyDescent="0.5">
      <c r="A95" s="24">
        <v>83</v>
      </c>
      <c r="B95" s="23"/>
      <c r="C95" s="21" t="s">
        <v>216</v>
      </c>
      <c r="D95" s="22">
        <v>15</v>
      </c>
      <c r="E95" s="60">
        <f t="shared" si="8"/>
        <v>25.5</v>
      </c>
      <c r="F95" s="17">
        <f t="shared" si="9"/>
        <v>10.5</v>
      </c>
      <c r="G95" s="25">
        <f t="shared" si="10"/>
        <v>0.7</v>
      </c>
    </row>
    <row r="96" spans="1:7" ht="27" x14ac:dyDescent="0.5">
      <c r="A96" s="24">
        <v>84</v>
      </c>
      <c r="B96" s="18"/>
      <c r="C96" s="19" t="s">
        <v>217</v>
      </c>
      <c r="D96" s="20">
        <v>15</v>
      </c>
      <c r="E96" s="61">
        <f t="shared" si="8"/>
        <v>25.5</v>
      </c>
      <c r="F96" s="17">
        <f t="shared" si="9"/>
        <v>10.5</v>
      </c>
      <c r="G96" s="25">
        <f t="shared" si="10"/>
        <v>0.7</v>
      </c>
    </row>
    <row r="97" spans="1:7" ht="26.25" x14ac:dyDescent="0.25">
      <c r="A97" s="70" t="s">
        <v>506</v>
      </c>
      <c r="B97" s="71"/>
      <c r="C97" s="71"/>
      <c r="D97" s="71"/>
      <c r="E97" s="71"/>
      <c r="F97" s="71"/>
      <c r="G97" s="72"/>
    </row>
    <row r="98" spans="1:7" ht="27" x14ac:dyDescent="0.5">
      <c r="A98" s="24">
        <v>85</v>
      </c>
      <c r="B98" s="23"/>
      <c r="C98" s="21" t="s">
        <v>221</v>
      </c>
      <c r="D98" s="22">
        <v>15</v>
      </c>
      <c r="E98" s="60">
        <v>34</v>
      </c>
      <c r="F98" s="17">
        <f>E98-D98</f>
        <v>19</v>
      </c>
      <c r="G98" s="25">
        <f>E98/D98-100%</f>
        <v>1.2666666666666666</v>
      </c>
    </row>
    <row r="99" spans="1:7" ht="27" x14ac:dyDescent="0.5">
      <c r="A99" s="24">
        <v>86</v>
      </c>
      <c r="B99" s="6" t="s">
        <v>462</v>
      </c>
      <c r="C99" s="19" t="s">
        <v>222</v>
      </c>
      <c r="D99" s="20">
        <v>15</v>
      </c>
      <c r="E99" s="61">
        <v>34</v>
      </c>
      <c r="F99" s="17">
        <f>E99-D99</f>
        <v>19</v>
      </c>
      <c r="G99" s="25">
        <f>E99/D99-100%</f>
        <v>1.2666666666666666</v>
      </c>
    </row>
    <row r="100" spans="1:7" ht="27" x14ac:dyDescent="0.5">
      <c r="A100" s="24">
        <v>87</v>
      </c>
      <c r="B100" s="6" t="s">
        <v>463</v>
      </c>
      <c r="C100" s="21" t="s">
        <v>223</v>
      </c>
      <c r="D100" s="22">
        <v>10.16</v>
      </c>
      <c r="E100" s="60">
        <v>27</v>
      </c>
      <c r="F100" s="17">
        <f>E100-D100</f>
        <v>16.84</v>
      </c>
      <c r="G100" s="25">
        <f>E100/D100-100%</f>
        <v>1.6574803149606301</v>
      </c>
    </row>
    <row r="101" spans="1:7" ht="27" x14ac:dyDescent="0.5">
      <c r="A101" s="24">
        <v>88</v>
      </c>
      <c r="B101" s="18" t="s">
        <v>507</v>
      </c>
      <c r="C101" s="37" t="s">
        <v>224</v>
      </c>
      <c r="D101" s="20">
        <v>13</v>
      </c>
      <c r="E101" s="61">
        <f>D101*170%</f>
        <v>22.099999999999998</v>
      </c>
      <c r="F101" s="17">
        <f>E101-D101</f>
        <v>9.0999999999999979</v>
      </c>
      <c r="G101" s="25">
        <f>E101/D101-100%</f>
        <v>0.69999999999999973</v>
      </c>
    </row>
    <row r="102" spans="1:7" ht="26.25" x14ac:dyDescent="0.25">
      <c r="A102" s="70" t="s">
        <v>508</v>
      </c>
      <c r="B102" s="71"/>
      <c r="C102" s="71"/>
      <c r="D102" s="71"/>
      <c r="E102" s="71"/>
      <c r="F102" s="71"/>
      <c r="G102" s="72"/>
    </row>
    <row r="103" spans="1:7" ht="27" x14ac:dyDescent="0.5">
      <c r="A103" s="24">
        <v>89</v>
      </c>
      <c r="B103" s="23" t="s">
        <v>384</v>
      </c>
      <c r="C103" s="36" t="s">
        <v>226</v>
      </c>
      <c r="D103" s="22">
        <v>7</v>
      </c>
      <c r="E103" s="60">
        <v>12</v>
      </c>
      <c r="F103" s="17">
        <f t="shared" ref="F103:F110" si="11">E103-D103</f>
        <v>5</v>
      </c>
      <c r="G103" s="25">
        <f t="shared" ref="G103:G110" si="12">E103/D103-100%</f>
        <v>0.71428571428571419</v>
      </c>
    </row>
    <row r="104" spans="1:7" ht="27" x14ac:dyDescent="0.5">
      <c r="A104" s="24">
        <v>90</v>
      </c>
      <c r="B104" s="18"/>
      <c r="C104" s="19" t="s">
        <v>509</v>
      </c>
      <c r="D104" s="20">
        <v>22</v>
      </c>
      <c r="E104" s="61">
        <v>37.5</v>
      </c>
      <c r="F104" s="17">
        <f t="shared" si="11"/>
        <v>15.5</v>
      </c>
      <c r="G104" s="25">
        <f t="shared" si="12"/>
        <v>0.70454545454545459</v>
      </c>
    </row>
    <row r="105" spans="1:7" ht="27" x14ac:dyDescent="0.5">
      <c r="A105" s="24">
        <v>91</v>
      </c>
      <c r="B105" s="6" t="s">
        <v>464</v>
      </c>
      <c r="C105" s="21" t="s">
        <v>228</v>
      </c>
      <c r="D105" s="22">
        <v>18</v>
      </c>
      <c r="E105" s="60">
        <f>D105*170%</f>
        <v>30.599999999999998</v>
      </c>
      <c r="F105" s="17">
        <f t="shared" si="11"/>
        <v>12.599999999999998</v>
      </c>
      <c r="G105" s="25">
        <f t="shared" si="12"/>
        <v>0.7</v>
      </c>
    </row>
    <row r="106" spans="1:7" ht="27" x14ac:dyDescent="0.5">
      <c r="A106" s="24">
        <v>92</v>
      </c>
      <c r="B106" s="6" t="s">
        <v>465</v>
      </c>
      <c r="C106" s="19" t="s">
        <v>237</v>
      </c>
      <c r="D106" s="20">
        <v>3.8</v>
      </c>
      <c r="E106" s="61">
        <v>8.5</v>
      </c>
      <c r="F106" s="17">
        <f t="shared" si="11"/>
        <v>4.7</v>
      </c>
      <c r="G106" s="25">
        <f t="shared" si="12"/>
        <v>1.236842105263158</v>
      </c>
    </row>
    <row r="107" spans="1:7" ht="27" x14ac:dyDescent="0.5">
      <c r="A107" s="24">
        <v>93</v>
      </c>
      <c r="B107" s="23"/>
      <c r="C107" s="21" t="s">
        <v>238</v>
      </c>
      <c r="D107" s="22">
        <v>16</v>
      </c>
      <c r="E107" s="60">
        <f>D107*170%</f>
        <v>27.2</v>
      </c>
      <c r="F107" s="17">
        <f t="shared" si="11"/>
        <v>11.2</v>
      </c>
      <c r="G107" s="25">
        <f t="shared" si="12"/>
        <v>0.7</v>
      </c>
    </row>
    <row r="108" spans="1:7" ht="27" x14ac:dyDescent="0.5">
      <c r="A108" s="24">
        <v>94</v>
      </c>
      <c r="B108" s="18"/>
      <c r="C108" s="19" t="s">
        <v>239</v>
      </c>
      <c r="D108" s="20">
        <v>16</v>
      </c>
      <c r="E108" s="61">
        <f>D108*170%</f>
        <v>27.2</v>
      </c>
      <c r="F108" s="17">
        <f t="shared" si="11"/>
        <v>11.2</v>
      </c>
      <c r="G108" s="25">
        <f t="shared" si="12"/>
        <v>0.7</v>
      </c>
    </row>
    <row r="109" spans="1:7" ht="27" x14ac:dyDescent="0.5">
      <c r="A109" s="24">
        <v>95</v>
      </c>
      <c r="B109" s="6" t="s">
        <v>466</v>
      </c>
      <c r="C109" s="21" t="s">
        <v>242</v>
      </c>
      <c r="D109" s="22">
        <v>19</v>
      </c>
      <c r="E109" s="60">
        <f>D109*170%</f>
        <v>32.299999999999997</v>
      </c>
      <c r="F109" s="17">
        <f t="shared" si="11"/>
        <v>13.299999999999997</v>
      </c>
      <c r="G109" s="25">
        <f t="shared" si="12"/>
        <v>0.7</v>
      </c>
    </row>
    <row r="110" spans="1:7" ht="27" x14ac:dyDescent="0.5">
      <c r="A110" s="24">
        <v>96</v>
      </c>
      <c r="B110" s="18"/>
      <c r="C110" s="19" t="s">
        <v>243</v>
      </c>
      <c r="D110" s="20">
        <v>19</v>
      </c>
      <c r="E110" s="61">
        <f>D110*170%</f>
        <v>32.299999999999997</v>
      </c>
      <c r="F110" s="17">
        <f t="shared" si="11"/>
        <v>13.299999999999997</v>
      </c>
      <c r="G110" s="25">
        <f t="shared" si="12"/>
        <v>0.7</v>
      </c>
    </row>
    <row r="111" spans="1:7" ht="26.25" x14ac:dyDescent="0.25">
      <c r="A111" s="70" t="s">
        <v>510</v>
      </c>
      <c r="B111" s="71"/>
      <c r="C111" s="71"/>
      <c r="D111" s="71"/>
      <c r="E111" s="71"/>
      <c r="F111" s="71"/>
      <c r="G111" s="72"/>
    </row>
    <row r="112" spans="1:7" ht="27" x14ac:dyDescent="0.5">
      <c r="A112" s="24">
        <v>97</v>
      </c>
      <c r="B112" s="23" t="s">
        <v>388</v>
      </c>
      <c r="C112" s="21" t="s">
        <v>251</v>
      </c>
      <c r="D112" s="22">
        <v>40</v>
      </c>
      <c r="E112" s="60">
        <f>D112*170%</f>
        <v>68</v>
      </c>
      <c r="F112" s="17">
        <f>E112-D112</f>
        <v>28</v>
      </c>
      <c r="G112" s="25">
        <f>E112/D112-100%</f>
        <v>0.7</v>
      </c>
    </row>
    <row r="113" spans="1:7" ht="26.25" x14ac:dyDescent="0.25">
      <c r="A113" s="70" t="s">
        <v>511</v>
      </c>
      <c r="B113" s="71"/>
      <c r="C113" s="71"/>
      <c r="D113" s="71"/>
      <c r="E113" s="71"/>
      <c r="F113" s="71"/>
      <c r="G113" s="72"/>
    </row>
    <row r="114" spans="1:7" ht="27" x14ac:dyDescent="0.5">
      <c r="A114" s="24">
        <v>98</v>
      </c>
      <c r="B114" s="6" t="s">
        <v>393</v>
      </c>
      <c r="C114" s="19" t="s">
        <v>254</v>
      </c>
      <c r="D114" s="20">
        <v>50</v>
      </c>
      <c r="E114" s="61">
        <f>D114*170%</f>
        <v>85</v>
      </c>
      <c r="F114" s="17">
        <f t="shared" ref="F114:F128" si="13">E114-D114</f>
        <v>35</v>
      </c>
      <c r="G114" s="25">
        <f t="shared" ref="G114:G128" si="14">E114/D114-100%</f>
        <v>0.7</v>
      </c>
    </row>
    <row r="115" spans="1:7" ht="27" x14ac:dyDescent="0.5">
      <c r="A115" s="24">
        <v>99</v>
      </c>
      <c r="B115" s="23"/>
      <c r="C115" s="21" t="s">
        <v>255</v>
      </c>
      <c r="D115" s="22">
        <v>42</v>
      </c>
      <c r="E115" s="60">
        <f>D115*170%</f>
        <v>71.399999999999991</v>
      </c>
      <c r="F115" s="17">
        <f t="shared" si="13"/>
        <v>29.399999999999991</v>
      </c>
      <c r="G115" s="25">
        <f t="shared" si="14"/>
        <v>0.69999999999999973</v>
      </c>
    </row>
    <row r="116" spans="1:7" ht="27" x14ac:dyDescent="0.5">
      <c r="A116" s="24">
        <v>100</v>
      </c>
      <c r="B116" s="18" t="s">
        <v>382</v>
      </c>
      <c r="C116" s="19" t="s">
        <v>261</v>
      </c>
      <c r="D116" s="20">
        <v>3</v>
      </c>
      <c r="E116" s="61">
        <v>6</v>
      </c>
      <c r="F116" s="17">
        <f t="shared" si="13"/>
        <v>3</v>
      </c>
      <c r="G116" s="25">
        <f t="shared" si="14"/>
        <v>1</v>
      </c>
    </row>
    <row r="117" spans="1:7" ht="27" x14ac:dyDescent="0.5">
      <c r="A117" s="24">
        <v>101</v>
      </c>
      <c r="B117" s="6" t="s">
        <v>467</v>
      </c>
      <c r="C117" s="21" t="s">
        <v>263</v>
      </c>
      <c r="D117" s="22">
        <v>15.03</v>
      </c>
      <c r="E117" s="60">
        <v>45</v>
      </c>
      <c r="F117" s="17">
        <f t="shared" si="13"/>
        <v>29.97</v>
      </c>
      <c r="G117" s="25">
        <f t="shared" si="14"/>
        <v>1.9940119760479043</v>
      </c>
    </row>
    <row r="118" spans="1:7" ht="27" x14ac:dyDescent="0.5">
      <c r="A118" s="24">
        <v>102</v>
      </c>
      <c r="B118" s="18" t="s">
        <v>512</v>
      </c>
      <c r="C118" s="19" t="s">
        <v>266</v>
      </c>
      <c r="D118" s="20">
        <v>15</v>
      </c>
      <c r="E118" s="61">
        <v>36.5</v>
      </c>
      <c r="F118" s="17">
        <f t="shared" si="13"/>
        <v>21.5</v>
      </c>
      <c r="G118" s="25">
        <f t="shared" si="14"/>
        <v>1.4333333333333331</v>
      </c>
    </row>
    <row r="119" spans="1:7" ht="27" x14ac:dyDescent="0.5">
      <c r="A119" s="24">
        <v>103</v>
      </c>
      <c r="B119" s="6" t="s">
        <v>468</v>
      </c>
      <c r="C119" s="21" t="s">
        <v>267</v>
      </c>
      <c r="D119" s="22">
        <v>7</v>
      </c>
      <c r="E119" s="60">
        <v>19</v>
      </c>
      <c r="F119" s="17">
        <f t="shared" si="13"/>
        <v>12</v>
      </c>
      <c r="G119" s="25">
        <f t="shared" si="14"/>
        <v>1.7142857142857144</v>
      </c>
    </row>
    <row r="120" spans="1:7" ht="27" x14ac:dyDescent="0.5">
      <c r="A120" s="24">
        <v>104</v>
      </c>
      <c r="B120" s="18"/>
      <c r="C120" s="38" t="s">
        <v>268</v>
      </c>
      <c r="D120" s="20">
        <v>21</v>
      </c>
      <c r="E120" s="61">
        <f>D120*170%</f>
        <v>35.699999999999996</v>
      </c>
      <c r="F120" s="17">
        <f t="shared" si="13"/>
        <v>14.699999999999996</v>
      </c>
      <c r="G120" s="25">
        <f t="shared" si="14"/>
        <v>0.69999999999999973</v>
      </c>
    </row>
    <row r="121" spans="1:7" ht="27" x14ac:dyDescent="0.5">
      <c r="A121" s="24">
        <v>105</v>
      </c>
      <c r="B121" s="6" t="s">
        <v>469</v>
      </c>
      <c r="C121" s="21" t="s">
        <v>269</v>
      </c>
      <c r="D121" s="22">
        <v>21</v>
      </c>
      <c r="E121" s="60">
        <f>D121*170%</f>
        <v>35.699999999999996</v>
      </c>
      <c r="F121" s="17">
        <f t="shared" si="13"/>
        <v>14.699999999999996</v>
      </c>
      <c r="G121" s="25">
        <f t="shared" si="14"/>
        <v>0.69999999999999973</v>
      </c>
    </row>
    <row r="122" spans="1:7" ht="27" x14ac:dyDescent="0.5">
      <c r="A122" s="24">
        <v>106</v>
      </c>
      <c r="B122" s="18" t="s">
        <v>389</v>
      </c>
      <c r="C122" s="19" t="s">
        <v>271</v>
      </c>
      <c r="D122" s="20">
        <v>3.8</v>
      </c>
      <c r="E122" s="61">
        <v>7.5</v>
      </c>
      <c r="F122" s="17">
        <f t="shared" si="13"/>
        <v>3.7</v>
      </c>
      <c r="G122" s="25">
        <f t="shared" si="14"/>
        <v>0.97368421052631593</v>
      </c>
    </row>
    <row r="123" spans="1:7" ht="27" x14ac:dyDescent="0.5">
      <c r="A123" s="24">
        <v>107</v>
      </c>
      <c r="B123" s="23"/>
      <c r="C123" s="21" t="s">
        <v>272</v>
      </c>
      <c r="D123" s="22">
        <v>3.8</v>
      </c>
      <c r="E123" s="60">
        <v>7.5</v>
      </c>
      <c r="F123" s="17">
        <f t="shared" si="13"/>
        <v>3.7</v>
      </c>
      <c r="G123" s="25">
        <f t="shared" si="14"/>
        <v>0.97368421052631593</v>
      </c>
    </row>
    <row r="124" spans="1:7" ht="27" x14ac:dyDescent="0.5">
      <c r="A124" s="24">
        <v>108</v>
      </c>
      <c r="B124" s="18"/>
      <c r="C124" s="19" t="s">
        <v>273</v>
      </c>
      <c r="D124" s="20">
        <v>3.8</v>
      </c>
      <c r="E124" s="61">
        <v>7.5</v>
      </c>
      <c r="F124" s="17">
        <f t="shared" si="13"/>
        <v>3.7</v>
      </c>
      <c r="G124" s="25">
        <f t="shared" si="14"/>
        <v>0.97368421052631593</v>
      </c>
    </row>
    <row r="125" spans="1:7" ht="27" x14ac:dyDescent="0.5">
      <c r="A125" s="24">
        <v>109</v>
      </c>
      <c r="B125" s="23"/>
      <c r="C125" s="21" t="s">
        <v>274</v>
      </c>
      <c r="D125" s="22">
        <v>3.8</v>
      </c>
      <c r="E125" s="60">
        <v>7.5</v>
      </c>
      <c r="F125" s="17">
        <f t="shared" si="13"/>
        <v>3.7</v>
      </c>
      <c r="G125" s="25">
        <f t="shared" si="14"/>
        <v>0.97368421052631593</v>
      </c>
    </row>
    <row r="126" spans="1:7" ht="27" x14ac:dyDescent="0.5">
      <c r="A126" s="24">
        <v>110</v>
      </c>
      <c r="B126" s="18"/>
      <c r="C126" s="19" t="s">
        <v>275</v>
      </c>
      <c r="D126" s="20">
        <v>3.8</v>
      </c>
      <c r="E126" s="61">
        <v>7.5</v>
      </c>
      <c r="F126" s="17">
        <f t="shared" si="13"/>
        <v>3.7</v>
      </c>
      <c r="G126" s="25">
        <f t="shared" si="14"/>
        <v>0.97368421052631593</v>
      </c>
    </row>
    <row r="127" spans="1:7" ht="27" x14ac:dyDescent="0.5">
      <c r="A127" s="24">
        <v>111</v>
      </c>
      <c r="B127" s="23"/>
      <c r="C127" s="21" t="s">
        <v>276</v>
      </c>
      <c r="D127" s="22">
        <v>3.8</v>
      </c>
      <c r="E127" s="60">
        <v>7.5</v>
      </c>
      <c r="F127" s="17">
        <f t="shared" si="13"/>
        <v>3.7</v>
      </c>
      <c r="G127" s="25">
        <f t="shared" si="14"/>
        <v>0.97368421052631593</v>
      </c>
    </row>
    <row r="128" spans="1:7" ht="27" x14ac:dyDescent="0.5">
      <c r="A128" s="24">
        <v>112</v>
      </c>
      <c r="B128" s="18"/>
      <c r="C128" s="19" t="s">
        <v>277</v>
      </c>
      <c r="D128" s="20">
        <v>3.8</v>
      </c>
      <c r="E128" s="61">
        <v>7.5</v>
      </c>
      <c r="F128" s="17">
        <f t="shared" si="13"/>
        <v>3.7</v>
      </c>
      <c r="G128" s="25">
        <f t="shared" si="14"/>
        <v>0.97368421052631593</v>
      </c>
    </row>
    <row r="129" spans="1:7" ht="26.25" x14ac:dyDescent="0.25">
      <c r="A129" s="70" t="s">
        <v>513</v>
      </c>
      <c r="B129" s="71"/>
      <c r="C129" s="71"/>
      <c r="D129" s="71"/>
      <c r="E129" s="71"/>
      <c r="F129" s="71"/>
      <c r="G129" s="72"/>
    </row>
    <row r="130" spans="1:7" ht="27" x14ac:dyDescent="0.5">
      <c r="A130" s="24">
        <v>113</v>
      </c>
      <c r="B130" s="6" t="s">
        <v>470</v>
      </c>
      <c r="C130" s="21" t="s">
        <v>278</v>
      </c>
      <c r="D130" s="22">
        <v>3.6</v>
      </c>
      <c r="E130" s="60">
        <v>7.5</v>
      </c>
      <c r="F130" s="17">
        <f>E130-D130</f>
        <v>3.9</v>
      </c>
      <c r="G130" s="25">
        <f>E130/D130-100%</f>
        <v>1.0833333333333335</v>
      </c>
    </row>
    <row r="131" spans="1:7" ht="27" x14ac:dyDescent="0.5">
      <c r="A131" s="24">
        <v>114</v>
      </c>
      <c r="B131" s="6" t="s">
        <v>471</v>
      </c>
      <c r="C131" s="19" t="s">
        <v>279</v>
      </c>
      <c r="D131" s="20">
        <v>16</v>
      </c>
      <c r="E131" s="61">
        <f>D131*170%</f>
        <v>27.2</v>
      </c>
      <c r="F131" s="17">
        <f>E131-D131</f>
        <v>11.2</v>
      </c>
      <c r="G131" s="25">
        <f>E131/D131-100%</f>
        <v>0.7</v>
      </c>
    </row>
    <row r="132" spans="1:7" ht="27" x14ac:dyDescent="0.5">
      <c r="A132" s="24">
        <v>115</v>
      </c>
      <c r="B132" s="6" t="s">
        <v>472</v>
      </c>
      <c r="C132" s="21" t="s">
        <v>280</v>
      </c>
      <c r="D132" s="22">
        <v>16</v>
      </c>
      <c r="E132" s="60">
        <v>38</v>
      </c>
      <c r="F132" s="17">
        <f>E132-D132</f>
        <v>22</v>
      </c>
      <c r="G132" s="25">
        <f>E132/D132-100%</f>
        <v>1.375</v>
      </c>
    </row>
    <row r="133" spans="1:7" ht="26.25" x14ac:dyDescent="0.25">
      <c r="A133" s="70" t="s">
        <v>514</v>
      </c>
      <c r="B133" s="71"/>
      <c r="C133" s="71"/>
      <c r="D133" s="71"/>
      <c r="E133" s="71"/>
      <c r="F133" s="71"/>
      <c r="G133" s="72"/>
    </row>
    <row r="134" spans="1:7" ht="27" x14ac:dyDescent="0.5">
      <c r="A134" s="24">
        <v>116</v>
      </c>
      <c r="B134" s="7" t="s">
        <v>394</v>
      </c>
      <c r="C134" s="19" t="s">
        <v>281</v>
      </c>
      <c r="D134" s="20">
        <v>3.5</v>
      </c>
      <c r="E134" s="61">
        <v>12.5</v>
      </c>
      <c r="F134" s="17">
        <f>E134-D134</f>
        <v>9</v>
      </c>
      <c r="G134" s="25">
        <f>E134/D134-100%</f>
        <v>2.5714285714285716</v>
      </c>
    </row>
    <row r="135" spans="1:7" ht="27" x14ac:dyDescent="0.5">
      <c r="A135" s="24">
        <v>117</v>
      </c>
      <c r="B135" s="23" t="s">
        <v>473</v>
      </c>
      <c r="C135" s="21" t="s">
        <v>284</v>
      </c>
      <c r="D135" s="22">
        <v>4.51</v>
      </c>
      <c r="E135" s="60">
        <v>9</v>
      </c>
      <c r="F135" s="17">
        <f>E135-D135</f>
        <v>4.49</v>
      </c>
      <c r="G135" s="25">
        <f>E135/D135-100%</f>
        <v>0.99556541019955658</v>
      </c>
    </row>
    <row r="136" spans="1:7" ht="27" x14ac:dyDescent="0.5">
      <c r="A136" s="24">
        <v>118</v>
      </c>
      <c r="B136" s="23" t="s">
        <v>515</v>
      </c>
      <c r="C136" s="21" t="s">
        <v>287</v>
      </c>
      <c r="D136" s="22">
        <v>3</v>
      </c>
      <c r="E136" s="60">
        <v>6</v>
      </c>
      <c r="F136" s="17">
        <f>E136-D136</f>
        <v>3</v>
      </c>
      <c r="G136" s="25">
        <f>E136/D136-100%</f>
        <v>1</v>
      </c>
    </row>
    <row r="137" spans="1:7" ht="26.25" x14ac:dyDescent="0.25">
      <c r="A137" s="70" t="s">
        <v>516</v>
      </c>
      <c r="B137" s="71"/>
      <c r="C137" s="71"/>
      <c r="D137" s="71"/>
      <c r="E137" s="71"/>
      <c r="F137" s="71"/>
      <c r="G137" s="72"/>
    </row>
    <row r="138" spans="1:7" ht="27" x14ac:dyDescent="0.5">
      <c r="A138" s="24">
        <v>119</v>
      </c>
      <c r="B138" s="6" t="s">
        <v>474</v>
      </c>
      <c r="C138" s="19" t="s">
        <v>290</v>
      </c>
      <c r="D138" s="20">
        <v>14</v>
      </c>
      <c r="E138" s="61">
        <f>D138*170%</f>
        <v>23.8</v>
      </c>
      <c r="F138" s="17">
        <f t="shared" ref="F138:F153" si="15">E138-D138</f>
        <v>9.8000000000000007</v>
      </c>
      <c r="G138" s="25">
        <f t="shared" ref="G138:G153" si="16">E138/D138-100%</f>
        <v>0.7</v>
      </c>
    </row>
    <row r="139" spans="1:7" ht="27" x14ac:dyDescent="0.5">
      <c r="A139" s="24">
        <v>120</v>
      </c>
      <c r="B139" s="6" t="s">
        <v>475</v>
      </c>
      <c r="C139" s="21" t="s">
        <v>291</v>
      </c>
      <c r="D139" s="22">
        <v>14</v>
      </c>
      <c r="E139" s="60">
        <f>D139*170%</f>
        <v>23.8</v>
      </c>
      <c r="F139" s="17">
        <f t="shared" si="15"/>
        <v>9.8000000000000007</v>
      </c>
      <c r="G139" s="25">
        <f t="shared" si="16"/>
        <v>0.7</v>
      </c>
    </row>
    <row r="140" spans="1:7" ht="27" x14ac:dyDescent="0.5">
      <c r="A140" s="24">
        <v>121</v>
      </c>
      <c r="B140" s="6" t="s">
        <v>397</v>
      </c>
      <c r="C140" s="19" t="s">
        <v>292</v>
      </c>
      <c r="D140" s="20">
        <v>14</v>
      </c>
      <c r="E140" s="61">
        <v>24</v>
      </c>
      <c r="F140" s="17">
        <f t="shared" si="15"/>
        <v>10</v>
      </c>
      <c r="G140" s="25">
        <f t="shared" si="16"/>
        <v>0.71428571428571419</v>
      </c>
    </row>
    <row r="141" spans="1:7" ht="27" x14ac:dyDescent="0.5">
      <c r="A141" s="24">
        <v>122</v>
      </c>
      <c r="B141" s="6" t="s">
        <v>476</v>
      </c>
      <c r="C141" s="21" t="s">
        <v>293</v>
      </c>
      <c r="D141" s="22">
        <v>14</v>
      </c>
      <c r="E141" s="60">
        <v>24</v>
      </c>
      <c r="F141" s="17">
        <f t="shared" si="15"/>
        <v>10</v>
      </c>
      <c r="G141" s="25">
        <f t="shared" si="16"/>
        <v>0.71428571428571419</v>
      </c>
    </row>
    <row r="142" spans="1:7" ht="27" x14ac:dyDescent="0.5">
      <c r="A142" s="24">
        <v>123</v>
      </c>
      <c r="B142" s="6" t="s">
        <v>477</v>
      </c>
      <c r="C142" s="19" t="s">
        <v>294</v>
      </c>
      <c r="D142" s="20">
        <v>5</v>
      </c>
      <c r="E142" s="61">
        <f>D142*170%</f>
        <v>8.5</v>
      </c>
      <c r="F142" s="17">
        <f t="shared" si="15"/>
        <v>3.5</v>
      </c>
      <c r="G142" s="25">
        <f t="shared" si="16"/>
        <v>0.7</v>
      </c>
    </row>
    <row r="143" spans="1:7" ht="27" x14ac:dyDescent="0.5">
      <c r="A143" s="24">
        <v>124</v>
      </c>
      <c r="B143" s="6" t="s">
        <v>478</v>
      </c>
      <c r="C143" s="36" t="s">
        <v>295</v>
      </c>
      <c r="D143" s="22">
        <v>15</v>
      </c>
      <c r="E143" s="60">
        <f>D143*170%</f>
        <v>25.5</v>
      </c>
      <c r="F143" s="17">
        <f t="shared" si="15"/>
        <v>10.5</v>
      </c>
      <c r="G143" s="25">
        <f t="shared" si="16"/>
        <v>0.7</v>
      </c>
    </row>
    <row r="144" spans="1:7" ht="27" x14ac:dyDescent="0.5">
      <c r="A144" s="24">
        <v>125</v>
      </c>
      <c r="B144" s="6" t="s">
        <v>399</v>
      </c>
      <c r="C144" s="19" t="s">
        <v>298</v>
      </c>
      <c r="D144" s="20">
        <v>23</v>
      </c>
      <c r="E144" s="61">
        <f>D144*170%</f>
        <v>39.1</v>
      </c>
      <c r="F144" s="17">
        <f t="shared" si="15"/>
        <v>16.100000000000001</v>
      </c>
      <c r="G144" s="25">
        <f t="shared" si="16"/>
        <v>0.7</v>
      </c>
    </row>
    <row r="145" spans="1:7" ht="27" x14ac:dyDescent="0.5">
      <c r="A145" s="24">
        <v>126</v>
      </c>
      <c r="B145" s="6" t="s">
        <v>401</v>
      </c>
      <c r="C145" s="21" t="s">
        <v>300</v>
      </c>
      <c r="D145" s="22">
        <v>15</v>
      </c>
      <c r="E145" s="60">
        <v>34</v>
      </c>
      <c r="F145" s="17">
        <f t="shared" si="15"/>
        <v>19</v>
      </c>
      <c r="G145" s="25">
        <f t="shared" si="16"/>
        <v>1.2666666666666666</v>
      </c>
    </row>
    <row r="146" spans="1:7" ht="27" x14ac:dyDescent="0.5">
      <c r="A146" s="24">
        <v>127</v>
      </c>
      <c r="B146" s="6" t="s">
        <v>479</v>
      </c>
      <c r="C146" s="19" t="s">
        <v>306</v>
      </c>
      <c r="D146" s="20">
        <v>6.8</v>
      </c>
      <c r="E146" s="61">
        <f>D146*170%</f>
        <v>11.559999999999999</v>
      </c>
      <c r="F146" s="17">
        <f t="shared" si="15"/>
        <v>4.7599999999999989</v>
      </c>
      <c r="G146" s="25">
        <f t="shared" si="16"/>
        <v>0.7</v>
      </c>
    </row>
    <row r="147" spans="1:7" ht="27" x14ac:dyDescent="0.5">
      <c r="A147" s="24">
        <v>128</v>
      </c>
      <c r="B147" s="6" t="s">
        <v>480</v>
      </c>
      <c r="C147" s="19" t="s">
        <v>314</v>
      </c>
      <c r="D147" s="20">
        <v>15</v>
      </c>
      <c r="E147" s="61">
        <v>27.5</v>
      </c>
      <c r="F147" s="17">
        <f t="shared" si="15"/>
        <v>12.5</v>
      </c>
      <c r="G147" s="25">
        <f t="shared" si="16"/>
        <v>0.83333333333333326</v>
      </c>
    </row>
    <row r="148" spans="1:7" ht="27" x14ac:dyDescent="0.5">
      <c r="A148" s="24">
        <v>129</v>
      </c>
      <c r="B148" s="6" t="s">
        <v>481</v>
      </c>
      <c r="C148" s="21" t="s">
        <v>315</v>
      </c>
      <c r="D148" s="22">
        <v>15</v>
      </c>
      <c r="E148" s="60">
        <v>27.5</v>
      </c>
      <c r="F148" s="17">
        <f t="shared" si="15"/>
        <v>12.5</v>
      </c>
      <c r="G148" s="25">
        <f t="shared" si="16"/>
        <v>0.83333333333333326</v>
      </c>
    </row>
    <row r="149" spans="1:7" ht="27" x14ac:dyDescent="0.5">
      <c r="A149" s="24">
        <v>130</v>
      </c>
      <c r="B149" s="18" t="s">
        <v>402</v>
      </c>
      <c r="C149" s="19" t="s">
        <v>316</v>
      </c>
      <c r="D149" s="20">
        <v>3.15</v>
      </c>
      <c r="E149" s="61">
        <v>6</v>
      </c>
      <c r="F149" s="17">
        <f t="shared" si="15"/>
        <v>2.85</v>
      </c>
      <c r="G149" s="25">
        <f t="shared" si="16"/>
        <v>0.90476190476190488</v>
      </c>
    </row>
    <row r="150" spans="1:7" ht="27" x14ac:dyDescent="0.5">
      <c r="A150" s="24">
        <v>131</v>
      </c>
      <c r="B150" s="31" t="s">
        <v>404</v>
      </c>
      <c r="C150" s="32" t="s">
        <v>317</v>
      </c>
      <c r="D150" s="33">
        <v>3.15</v>
      </c>
      <c r="E150" s="62">
        <v>6</v>
      </c>
      <c r="F150" s="34">
        <f t="shared" si="15"/>
        <v>2.85</v>
      </c>
      <c r="G150" s="35">
        <f t="shared" si="16"/>
        <v>0.90476190476190488</v>
      </c>
    </row>
    <row r="151" spans="1:7" ht="27" x14ac:dyDescent="0.5">
      <c r="A151" s="24">
        <v>132</v>
      </c>
      <c r="B151" s="23" t="s">
        <v>406</v>
      </c>
      <c r="C151" s="21" t="s">
        <v>322</v>
      </c>
      <c r="D151" s="22">
        <v>2.8</v>
      </c>
      <c r="E151" s="60">
        <v>8.5</v>
      </c>
      <c r="F151" s="22">
        <f t="shared" si="15"/>
        <v>5.7</v>
      </c>
      <c r="G151" s="25">
        <f t="shared" si="16"/>
        <v>2.035714285714286</v>
      </c>
    </row>
    <row r="152" spans="1:7" ht="27" x14ac:dyDescent="0.5">
      <c r="A152" s="24">
        <v>133</v>
      </c>
      <c r="B152" s="23" t="s">
        <v>407</v>
      </c>
      <c r="C152" s="36" t="s">
        <v>323</v>
      </c>
      <c r="D152" s="22">
        <v>58</v>
      </c>
      <c r="E152" s="60">
        <f>58*170%</f>
        <v>98.6</v>
      </c>
      <c r="F152" s="22">
        <f t="shared" si="15"/>
        <v>40.599999999999994</v>
      </c>
      <c r="G152" s="25">
        <f t="shared" si="16"/>
        <v>0.7</v>
      </c>
    </row>
    <row r="153" spans="1:7" ht="27" x14ac:dyDescent="0.5">
      <c r="A153" s="24">
        <v>134</v>
      </c>
      <c r="B153" s="23" t="s">
        <v>409</v>
      </c>
      <c r="C153" s="21" t="s">
        <v>324</v>
      </c>
      <c r="D153" s="22">
        <v>12.7</v>
      </c>
      <c r="E153" s="60">
        <v>23</v>
      </c>
      <c r="F153" s="22">
        <f t="shared" si="15"/>
        <v>10.3</v>
      </c>
      <c r="G153" s="25">
        <f t="shared" si="16"/>
        <v>0.81102362204724421</v>
      </c>
    </row>
    <row r="154" spans="1:7" ht="26.25" x14ac:dyDescent="0.25">
      <c r="A154" s="70" t="s">
        <v>517</v>
      </c>
      <c r="B154" s="71"/>
      <c r="C154" s="71"/>
      <c r="D154" s="71"/>
      <c r="E154" s="71"/>
      <c r="F154" s="71"/>
      <c r="G154" s="72"/>
    </row>
    <row r="155" spans="1:7" ht="27" x14ac:dyDescent="0.5">
      <c r="A155" s="24">
        <v>135</v>
      </c>
      <c r="B155" s="23" t="s">
        <v>410</v>
      </c>
      <c r="C155" s="21" t="s">
        <v>325</v>
      </c>
      <c r="D155" s="22">
        <v>2.8</v>
      </c>
      <c r="E155" s="60">
        <v>6</v>
      </c>
      <c r="F155" s="22">
        <f t="shared" ref="F155:F164" si="17">E155-D155</f>
        <v>3.2</v>
      </c>
      <c r="G155" s="25">
        <f t="shared" ref="G155:G164" si="18">E155/D155-100%</f>
        <v>1.1428571428571428</v>
      </c>
    </row>
    <row r="156" spans="1:7" ht="27" x14ac:dyDescent="0.5">
      <c r="A156" s="24">
        <v>136</v>
      </c>
      <c r="B156" s="23"/>
      <c r="C156" s="21" t="s">
        <v>326</v>
      </c>
      <c r="D156" s="22">
        <v>2.8</v>
      </c>
      <c r="E156" s="60">
        <v>6</v>
      </c>
      <c r="F156" s="22">
        <f t="shared" si="17"/>
        <v>3.2</v>
      </c>
      <c r="G156" s="25">
        <f t="shared" si="18"/>
        <v>1.1428571428571428</v>
      </c>
    </row>
    <row r="157" spans="1:7" ht="27" x14ac:dyDescent="0.5">
      <c r="A157" s="24">
        <v>137</v>
      </c>
      <c r="B157" s="23"/>
      <c r="C157" s="21" t="s">
        <v>327</v>
      </c>
      <c r="D157" s="22">
        <v>2.8</v>
      </c>
      <c r="E157" s="60">
        <v>6</v>
      </c>
      <c r="F157" s="22">
        <f t="shared" si="17"/>
        <v>3.2</v>
      </c>
      <c r="G157" s="25">
        <f t="shared" si="18"/>
        <v>1.1428571428571428</v>
      </c>
    </row>
    <row r="158" spans="1:7" ht="27" x14ac:dyDescent="0.5">
      <c r="A158" s="24">
        <v>138</v>
      </c>
      <c r="B158" s="23"/>
      <c r="C158" s="21" t="s">
        <v>328</v>
      </c>
      <c r="D158" s="22">
        <v>2.8</v>
      </c>
      <c r="E158" s="60">
        <v>8.5</v>
      </c>
      <c r="F158" s="22">
        <f t="shared" si="17"/>
        <v>5.7</v>
      </c>
      <c r="G158" s="25">
        <f t="shared" si="18"/>
        <v>2.035714285714286</v>
      </c>
    </row>
    <row r="159" spans="1:7" ht="27" x14ac:dyDescent="0.5">
      <c r="A159" s="24">
        <v>139</v>
      </c>
      <c r="B159" s="23" t="s">
        <v>412</v>
      </c>
      <c r="C159" s="21" t="s">
        <v>329</v>
      </c>
      <c r="D159" s="22">
        <v>2.8</v>
      </c>
      <c r="E159" s="60">
        <v>8.5</v>
      </c>
      <c r="F159" s="22">
        <f t="shared" si="17"/>
        <v>5.7</v>
      </c>
      <c r="G159" s="25">
        <f t="shared" si="18"/>
        <v>2.035714285714286</v>
      </c>
    </row>
    <row r="160" spans="1:7" ht="27" x14ac:dyDescent="0.5">
      <c r="A160" s="24">
        <v>140</v>
      </c>
      <c r="B160" s="23"/>
      <c r="C160" s="21" t="s">
        <v>330</v>
      </c>
      <c r="D160" s="22">
        <v>2.8</v>
      </c>
      <c r="E160" s="60">
        <v>8.5</v>
      </c>
      <c r="F160" s="22">
        <f t="shared" si="17"/>
        <v>5.7</v>
      </c>
      <c r="G160" s="25">
        <f t="shared" si="18"/>
        <v>2.035714285714286</v>
      </c>
    </row>
    <row r="161" spans="1:7" ht="27" x14ac:dyDescent="0.5">
      <c r="A161" s="24">
        <v>141</v>
      </c>
      <c r="B161" s="23"/>
      <c r="C161" s="21" t="s">
        <v>331</v>
      </c>
      <c r="D161" s="22">
        <v>20</v>
      </c>
      <c r="E161" s="60">
        <f>D161*170%</f>
        <v>34</v>
      </c>
      <c r="F161" s="22">
        <f t="shared" si="17"/>
        <v>14</v>
      </c>
      <c r="G161" s="25">
        <f t="shared" si="18"/>
        <v>0.7</v>
      </c>
    </row>
    <row r="162" spans="1:7" ht="27" x14ac:dyDescent="0.5">
      <c r="A162" s="24">
        <v>142</v>
      </c>
      <c r="B162" s="23"/>
      <c r="C162" s="21" t="s">
        <v>332</v>
      </c>
      <c r="D162" s="22">
        <v>20</v>
      </c>
      <c r="E162" s="60">
        <f>D162*170%</f>
        <v>34</v>
      </c>
      <c r="F162" s="22">
        <f t="shared" si="17"/>
        <v>14</v>
      </c>
      <c r="G162" s="25">
        <f t="shared" si="18"/>
        <v>0.7</v>
      </c>
    </row>
    <row r="163" spans="1:7" ht="27" x14ac:dyDescent="0.5">
      <c r="A163" s="24">
        <v>143</v>
      </c>
      <c r="B163" s="23"/>
      <c r="C163" s="21" t="s">
        <v>333</v>
      </c>
      <c r="D163" s="22">
        <v>20</v>
      </c>
      <c r="E163" s="60">
        <f>D163*170%</f>
        <v>34</v>
      </c>
      <c r="F163" s="22">
        <f t="shared" si="17"/>
        <v>14</v>
      </c>
      <c r="G163" s="25">
        <f t="shared" si="18"/>
        <v>0.7</v>
      </c>
    </row>
    <row r="164" spans="1:7" ht="27" x14ac:dyDescent="0.5">
      <c r="A164" s="24">
        <v>144</v>
      </c>
      <c r="B164" s="6" t="s">
        <v>482</v>
      </c>
      <c r="C164" s="21" t="s">
        <v>334</v>
      </c>
      <c r="D164" s="22">
        <v>20</v>
      </c>
      <c r="E164" s="60">
        <f>D164*170%</f>
        <v>34</v>
      </c>
      <c r="F164" s="22">
        <f t="shared" si="17"/>
        <v>14</v>
      </c>
      <c r="G164" s="25">
        <f t="shared" si="18"/>
        <v>0.7</v>
      </c>
    </row>
    <row r="165" spans="1:7" ht="25.5" customHeight="1" x14ac:dyDescent="0.25">
      <c r="A165" s="70" t="s">
        <v>518</v>
      </c>
      <c r="B165" s="71"/>
      <c r="C165" s="71"/>
      <c r="D165" s="71"/>
      <c r="E165" s="71"/>
      <c r="F165" s="71"/>
      <c r="G165" s="72"/>
    </row>
    <row r="166" spans="1:7" ht="27" x14ac:dyDescent="0.5">
      <c r="A166" s="24">
        <v>145</v>
      </c>
      <c r="B166" s="6" t="s">
        <v>483</v>
      </c>
      <c r="C166" s="21" t="s">
        <v>337</v>
      </c>
      <c r="D166" s="22">
        <v>80</v>
      </c>
      <c r="E166" s="60">
        <f>D166*170%</f>
        <v>136</v>
      </c>
      <c r="F166" s="22">
        <f>E166-D166</f>
        <v>56</v>
      </c>
      <c r="G166" s="25">
        <f>E166/D166-100%</f>
        <v>0.7</v>
      </c>
    </row>
    <row r="167" spans="1:7" ht="27" x14ac:dyDescent="0.5">
      <c r="A167" s="24">
        <v>146</v>
      </c>
      <c r="B167" s="6" t="s">
        <v>416</v>
      </c>
      <c r="C167" s="21" t="s">
        <v>338</v>
      </c>
      <c r="D167" s="22">
        <v>19.649999999999999</v>
      </c>
      <c r="E167" s="60">
        <f>D167*170%</f>
        <v>33.404999999999994</v>
      </c>
      <c r="F167" s="22">
        <f>E167-D167</f>
        <v>13.754999999999995</v>
      </c>
      <c r="G167" s="25">
        <f>E167/D167-100%</f>
        <v>0.69999999999999973</v>
      </c>
    </row>
    <row r="168" spans="1:7" ht="27" x14ac:dyDescent="0.5">
      <c r="A168" s="24">
        <v>147</v>
      </c>
      <c r="B168" s="23"/>
      <c r="C168" s="21" t="s">
        <v>339</v>
      </c>
      <c r="D168" s="22">
        <v>80</v>
      </c>
      <c r="E168" s="60">
        <f>D168*170%</f>
        <v>136</v>
      </c>
      <c r="F168" s="22">
        <f>E168-D168</f>
        <v>56</v>
      </c>
      <c r="G168" s="25">
        <f>E168/D168-100%</f>
        <v>0.7</v>
      </c>
    </row>
    <row r="169" spans="1:7" ht="27" x14ac:dyDescent="0.5">
      <c r="A169" s="24">
        <v>148</v>
      </c>
      <c r="B169" s="6" t="s">
        <v>484</v>
      </c>
      <c r="C169" s="21" t="s">
        <v>340</v>
      </c>
      <c r="D169" s="22">
        <v>35</v>
      </c>
      <c r="E169" s="60">
        <v>59.5</v>
      </c>
      <c r="F169" s="22">
        <f>E169-D169</f>
        <v>24.5</v>
      </c>
      <c r="G169" s="25">
        <f>E169/D169-100%</f>
        <v>0.7</v>
      </c>
    </row>
    <row r="170" spans="1:7" ht="26.25" x14ac:dyDescent="0.25">
      <c r="A170" s="70" t="s">
        <v>519</v>
      </c>
      <c r="B170" s="71"/>
      <c r="C170" s="71"/>
      <c r="D170" s="71"/>
      <c r="E170" s="71"/>
      <c r="F170" s="71"/>
      <c r="G170" s="72"/>
    </row>
    <row r="171" spans="1:7" ht="27" x14ac:dyDescent="0.5">
      <c r="A171" s="24">
        <v>149</v>
      </c>
      <c r="B171" s="23" t="s">
        <v>485</v>
      </c>
      <c r="C171" s="21" t="s">
        <v>341</v>
      </c>
      <c r="D171" s="22">
        <v>10</v>
      </c>
      <c r="E171" s="60">
        <f>D171*170%</f>
        <v>17</v>
      </c>
      <c r="F171" s="22">
        <f>E171-D171</f>
        <v>7</v>
      </c>
      <c r="G171" s="25">
        <f>E171/D171-100%</f>
        <v>0.7</v>
      </c>
    </row>
    <row r="172" spans="1:7" ht="26.25" x14ac:dyDescent="0.25">
      <c r="A172" s="70" t="s">
        <v>520</v>
      </c>
      <c r="B172" s="71"/>
      <c r="C172" s="71"/>
      <c r="D172" s="71"/>
      <c r="E172" s="71"/>
      <c r="F172" s="71"/>
      <c r="G172" s="72"/>
    </row>
    <row r="173" spans="1:7" ht="27" x14ac:dyDescent="0.5">
      <c r="A173" s="26">
        <v>150</v>
      </c>
      <c r="B173" s="48" t="s">
        <v>419</v>
      </c>
      <c r="C173" s="49" t="s">
        <v>342</v>
      </c>
      <c r="D173" s="50">
        <v>15</v>
      </c>
      <c r="E173" s="63">
        <v>51.5</v>
      </c>
      <c r="F173" s="50">
        <f>E173-D173</f>
        <v>36.5</v>
      </c>
      <c r="G173" s="27">
        <f>E173/D173-100%</f>
        <v>2.4333333333333331</v>
      </c>
    </row>
    <row r="174" spans="1:7" x14ac:dyDescent="0.25">
      <c r="A174" s="15"/>
      <c r="B174" s="15"/>
      <c r="C174" s="14"/>
      <c r="D174" s="14"/>
      <c r="E174" s="58"/>
      <c r="F174" s="14"/>
      <c r="G174" s="14"/>
    </row>
    <row r="175" spans="1:7" x14ac:dyDescent="0.25">
      <c r="A175" s="15"/>
      <c r="B175" s="15"/>
      <c r="C175" s="14"/>
      <c r="D175" s="14"/>
      <c r="E175" s="58"/>
      <c r="F175" s="14"/>
      <c r="G175" s="14"/>
    </row>
    <row r="176" spans="1:7" x14ac:dyDescent="0.25">
      <c r="A176" s="15"/>
      <c r="B176" s="15"/>
      <c r="C176" s="14"/>
      <c r="D176" s="14"/>
      <c r="E176" s="58"/>
      <c r="F176" s="14"/>
      <c r="G176" s="14"/>
    </row>
    <row r="177" spans="1:7" x14ac:dyDescent="0.25">
      <c r="A177" s="15"/>
      <c r="B177" s="15"/>
      <c r="C177" s="14"/>
      <c r="D177" s="14"/>
      <c r="E177" s="58"/>
      <c r="F177" s="14"/>
      <c r="G177" s="14"/>
    </row>
    <row r="178" spans="1:7" x14ac:dyDescent="0.25">
      <c r="A178" s="15"/>
      <c r="B178" s="15"/>
      <c r="C178" s="14"/>
      <c r="D178" s="14"/>
      <c r="E178" s="58"/>
      <c r="F178" s="14"/>
      <c r="G178" s="14"/>
    </row>
    <row r="179" spans="1:7" x14ac:dyDescent="0.25">
      <c r="A179" s="15"/>
      <c r="B179" s="15"/>
      <c r="C179" s="14"/>
      <c r="D179" s="14"/>
      <c r="E179" s="58"/>
      <c r="F179" s="14"/>
      <c r="G179" s="14"/>
    </row>
    <row r="180" spans="1:7" x14ac:dyDescent="0.25">
      <c r="A180" s="15"/>
      <c r="B180" s="15"/>
      <c r="C180" s="14"/>
      <c r="D180" s="14"/>
      <c r="E180" s="58"/>
      <c r="F180" s="14"/>
      <c r="G180" s="14"/>
    </row>
    <row r="181" spans="1:7" x14ac:dyDescent="0.25">
      <c r="A181" s="15"/>
      <c r="B181" s="15"/>
      <c r="C181" s="14"/>
      <c r="D181" s="14"/>
      <c r="E181" s="58"/>
      <c r="F181" s="14"/>
      <c r="G181" s="14"/>
    </row>
    <row r="182" spans="1:7" x14ac:dyDescent="0.25">
      <c r="A182" s="15"/>
      <c r="B182" s="15"/>
      <c r="C182" s="14"/>
      <c r="D182" s="14"/>
      <c r="E182" s="58"/>
      <c r="F182" s="14"/>
      <c r="G182" s="14"/>
    </row>
    <row r="183" spans="1:7" x14ac:dyDescent="0.25">
      <c r="A183" s="15"/>
      <c r="B183" s="15"/>
      <c r="C183" s="14"/>
      <c r="D183" s="14"/>
      <c r="E183" s="58"/>
      <c r="F183" s="14"/>
      <c r="G183" s="14"/>
    </row>
    <row r="184" spans="1:7" x14ac:dyDescent="0.25">
      <c r="A184" s="15"/>
      <c r="B184" s="15"/>
      <c r="C184" s="14"/>
      <c r="D184" s="14"/>
      <c r="E184" s="58"/>
      <c r="F184" s="14"/>
      <c r="G184" s="14"/>
    </row>
    <row r="185" spans="1:7" x14ac:dyDescent="0.25">
      <c r="A185" s="15"/>
      <c r="B185" s="15"/>
      <c r="C185" s="14"/>
      <c r="D185" s="14"/>
      <c r="E185" s="58"/>
      <c r="F185" s="14"/>
      <c r="G185" s="14"/>
    </row>
    <row r="186" spans="1:7" x14ac:dyDescent="0.25">
      <c r="A186" s="15"/>
      <c r="B186" s="15"/>
      <c r="C186" s="14"/>
      <c r="D186" s="14"/>
      <c r="E186" s="58"/>
      <c r="F186" s="14"/>
      <c r="G186" s="14"/>
    </row>
    <row r="187" spans="1:7" x14ac:dyDescent="0.25">
      <c r="A187" s="15"/>
      <c r="B187" s="15"/>
      <c r="C187" s="14"/>
      <c r="D187" s="14"/>
      <c r="E187" s="58"/>
      <c r="F187" s="14"/>
      <c r="G187" s="14"/>
    </row>
    <row r="188" spans="1:7" x14ac:dyDescent="0.25">
      <c r="A188" s="15"/>
      <c r="B188" s="15"/>
      <c r="C188" s="14"/>
      <c r="D188" s="14"/>
      <c r="E188" s="58"/>
      <c r="F188" s="14"/>
      <c r="G188" s="14"/>
    </row>
    <row r="189" spans="1:7" x14ac:dyDescent="0.25">
      <c r="A189" s="15"/>
      <c r="B189" s="15"/>
      <c r="C189" s="14"/>
      <c r="D189" s="14"/>
      <c r="E189" s="58"/>
      <c r="F189" s="14"/>
      <c r="G189" s="14"/>
    </row>
    <row r="190" spans="1:7" x14ac:dyDescent="0.25">
      <c r="A190" s="15"/>
      <c r="B190" s="15"/>
      <c r="C190" s="14"/>
      <c r="D190" s="14"/>
      <c r="E190" s="58"/>
      <c r="F190" s="14"/>
      <c r="G190" s="14"/>
    </row>
    <row r="191" spans="1:7" x14ac:dyDescent="0.25">
      <c r="A191" s="15"/>
      <c r="B191" s="15"/>
      <c r="C191" s="14"/>
      <c r="D191" s="14"/>
      <c r="E191" s="58"/>
      <c r="F191" s="14"/>
      <c r="G191" s="14"/>
    </row>
    <row r="192" spans="1:7" x14ac:dyDescent="0.25">
      <c r="A192" s="15"/>
      <c r="B192" s="15"/>
      <c r="C192" s="14"/>
      <c r="D192" s="14"/>
      <c r="E192" s="58"/>
      <c r="F192" s="14"/>
      <c r="G192" s="14"/>
    </row>
    <row r="193" spans="1:7" x14ac:dyDescent="0.25">
      <c r="A193" s="15"/>
      <c r="B193" s="15"/>
      <c r="C193" s="14"/>
      <c r="D193" s="14"/>
      <c r="E193" s="58"/>
      <c r="F193" s="14"/>
      <c r="G193" s="14"/>
    </row>
    <row r="194" spans="1:7" x14ac:dyDescent="0.25">
      <c r="A194" s="15"/>
      <c r="B194" s="15"/>
      <c r="C194" s="14"/>
      <c r="D194" s="14"/>
      <c r="E194" s="58"/>
      <c r="F194" s="14"/>
      <c r="G194" s="14"/>
    </row>
    <row r="195" spans="1:7" x14ac:dyDescent="0.25">
      <c r="A195" s="15"/>
      <c r="B195" s="15"/>
      <c r="C195" s="14"/>
      <c r="D195" s="14"/>
      <c r="E195" s="58"/>
      <c r="F195" s="14"/>
      <c r="G195" s="14"/>
    </row>
    <row r="196" spans="1:7" x14ac:dyDescent="0.25">
      <c r="A196" s="15"/>
      <c r="B196" s="15"/>
      <c r="C196" s="14"/>
      <c r="D196" s="14"/>
      <c r="E196" s="58"/>
      <c r="F196" s="14"/>
      <c r="G196" s="14"/>
    </row>
    <row r="197" spans="1:7" x14ac:dyDescent="0.25">
      <c r="A197" s="15"/>
      <c r="B197" s="15"/>
      <c r="C197" s="14"/>
      <c r="D197" s="14"/>
      <c r="E197" s="58"/>
      <c r="F197" s="14"/>
      <c r="G197" s="14"/>
    </row>
    <row r="198" spans="1:7" x14ac:dyDescent="0.25">
      <c r="A198" s="15"/>
      <c r="B198" s="15"/>
      <c r="C198" s="14"/>
      <c r="D198" s="14"/>
      <c r="E198" s="58"/>
      <c r="F198" s="14"/>
      <c r="G198" s="14"/>
    </row>
    <row r="199" spans="1:7" x14ac:dyDescent="0.25">
      <c r="A199" s="15"/>
      <c r="B199" s="15"/>
      <c r="C199" s="14"/>
      <c r="D199" s="14"/>
      <c r="E199" s="58"/>
      <c r="F199" s="14"/>
      <c r="G199" s="14"/>
    </row>
    <row r="200" spans="1:7" x14ac:dyDescent="0.25">
      <c r="A200" s="15"/>
      <c r="B200" s="15"/>
      <c r="C200" s="14"/>
      <c r="D200" s="14"/>
      <c r="E200" s="58"/>
      <c r="F200" s="14"/>
      <c r="G200" s="14"/>
    </row>
    <row r="201" spans="1:7" x14ac:dyDescent="0.25">
      <c r="A201" s="15"/>
      <c r="B201" s="15"/>
      <c r="C201" s="14"/>
      <c r="D201" s="14"/>
      <c r="E201" s="58"/>
      <c r="F201" s="14"/>
      <c r="G201" s="14"/>
    </row>
    <row r="202" spans="1:7" x14ac:dyDescent="0.25">
      <c r="A202" s="15"/>
      <c r="B202" s="15"/>
      <c r="C202" s="14"/>
      <c r="D202" s="14"/>
      <c r="E202" s="58"/>
      <c r="F202" s="14"/>
      <c r="G202" s="14"/>
    </row>
    <row r="203" spans="1:7" x14ac:dyDescent="0.25">
      <c r="A203" s="15"/>
      <c r="B203" s="15"/>
      <c r="C203" s="14"/>
      <c r="D203" s="14"/>
      <c r="E203" s="58"/>
      <c r="F203" s="14"/>
      <c r="G203" s="14"/>
    </row>
    <row r="204" spans="1:7" x14ac:dyDescent="0.25">
      <c r="A204" s="15"/>
      <c r="B204" s="15"/>
      <c r="C204" s="14"/>
      <c r="D204" s="14"/>
      <c r="E204" s="58"/>
      <c r="F204" s="14"/>
      <c r="G204" s="14"/>
    </row>
    <row r="205" spans="1:7" x14ac:dyDescent="0.25">
      <c r="A205" s="15"/>
      <c r="B205" s="15"/>
      <c r="C205" s="14"/>
      <c r="D205" s="14"/>
      <c r="E205" s="58"/>
      <c r="F205" s="14"/>
      <c r="G205" s="14"/>
    </row>
    <row r="206" spans="1:7" x14ac:dyDescent="0.25">
      <c r="A206" s="15"/>
      <c r="B206" s="15"/>
      <c r="C206" s="14"/>
      <c r="D206" s="14"/>
      <c r="E206" s="58"/>
      <c r="F206" s="14"/>
      <c r="G206" s="14"/>
    </row>
    <row r="207" spans="1:7" x14ac:dyDescent="0.25">
      <c r="A207" s="15"/>
      <c r="B207" s="15"/>
      <c r="C207" s="14"/>
      <c r="D207" s="14"/>
      <c r="E207" s="58"/>
      <c r="F207" s="14"/>
      <c r="G207" s="14"/>
    </row>
    <row r="208" spans="1:7" x14ac:dyDescent="0.25">
      <c r="A208" s="15"/>
      <c r="B208" s="15"/>
      <c r="C208" s="14"/>
      <c r="D208" s="14"/>
      <c r="E208" s="58"/>
      <c r="F208" s="14"/>
      <c r="G208" s="14"/>
    </row>
    <row r="209" spans="1:7" x14ac:dyDescent="0.25">
      <c r="A209" s="15"/>
      <c r="B209" s="15"/>
      <c r="C209" s="14"/>
      <c r="D209" s="14"/>
      <c r="E209" s="58"/>
      <c r="F209" s="14"/>
      <c r="G209" s="14"/>
    </row>
    <row r="210" spans="1:7" x14ac:dyDescent="0.25">
      <c r="A210" s="15"/>
      <c r="B210" s="15"/>
      <c r="C210" s="14"/>
      <c r="D210" s="14"/>
      <c r="E210" s="58"/>
      <c r="F210" s="14"/>
      <c r="G210" s="14"/>
    </row>
    <row r="211" spans="1:7" x14ac:dyDescent="0.25">
      <c r="A211" s="15"/>
      <c r="B211" s="15"/>
      <c r="C211" s="14"/>
      <c r="D211" s="14"/>
      <c r="E211" s="58"/>
      <c r="F211" s="14"/>
      <c r="G211" s="14"/>
    </row>
    <row r="212" spans="1:7" x14ac:dyDescent="0.25">
      <c r="A212" s="15"/>
      <c r="B212" s="15"/>
      <c r="C212" s="14"/>
      <c r="D212" s="14"/>
      <c r="E212" s="58"/>
      <c r="F212" s="14"/>
      <c r="G212" s="14"/>
    </row>
    <row r="213" spans="1:7" x14ac:dyDescent="0.25">
      <c r="A213" s="15"/>
      <c r="B213" s="15"/>
      <c r="C213" s="14"/>
      <c r="D213" s="14"/>
      <c r="E213" s="58"/>
      <c r="F213" s="14"/>
      <c r="G213" s="14"/>
    </row>
    <row r="214" spans="1:7" x14ac:dyDescent="0.25">
      <c r="A214" s="15"/>
      <c r="B214" s="15"/>
      <c r="C214" s="14"/>
      <c r="D214" s="14"/>
      <c r="E214" s="58"/>
      <c r="F214" s="14"/>
      <c r="G214" s="14"/>
    </row>
    <row r="215" spans="1:7" x14ac:dyDescent="0.25">
      <c r="A215" s="15"/>
      <c r="B215" s="15"/>
      <c r="C215" s="14"/>
      <c r="D215" s="14"/>
      <c r="E215" s="58"/>
      <c r="F215" s="14"/>
      <c r="G215" s="14"/>
    </row>
    <row r="216" spans="1:7" x14ac:dyDescent="0.25">
      <c r="A216" s="15"/>
      <c r="B216" s="15"/>
      <c r="C216" s="14"/>
      <c r="D216" s="14"/>
      <c r="E216" s="58"/>
      <c r="F216" s="14"/>
      <c r="G216" s="14"/>
    </row>
    <row r="217" spans="1:7" x14ac:dyDescent="0.25">
      <c r="A217" s="15"/>
      <c r="B217" s="15"/>
      <c r="C217" s="14"/>
      <c r="D217" s="14"/>
      <c r="E217" s="58"/>
      <c r="F217" s="14"/>
      <c r="G217" s="14"/>
    </row>
    <row r="218" spans="1:7" x14ac:dyDescent="0.25">
      <c r="A218" s="15"/>
      <c r="B218" s="15"/>
      <c r="C218" s="14"/>
      <c r="D218" s="14"/>
      <c r="E218" s="58"/>
      <c r="F218" s="14"/>
      <c r="G218" s="14"/>
    </row>
    <row r="219" spans="1:7" x14ac:dyDescent="0.25">
      <c r="A219" s="15"/>
      <c r="B219" s="15"/>
      <c r="C219" s="14"/>
      <c r="D219" s="14"/>
      <c r="E219" s="58"/>
      <c r="F219" s="14"/>
      <c r="G219" s="14"/>
    </row>
    <row r="220" spans="1:7" x14ac:dyDescent="0.25">
      <c r="A220" s="15"/>
      <c r="B220" s="15"/>
      <c r="C220" s="14"/>
      <c r="D220" s="14"/>
      <c r="E220" s="58"/>
      <c r="F220" s="14"/>
      <c r="G220" s="14"/>
    </row>
    <row r="221" spans="1:7" x14ac:dyDescent="0.25">
      <c r="A221" s="15"/>
      <c r="B221" s="15"/>
      <c r="C221" s="14"/>
      <c r="D221" s="14"/>
      <c r="E221" s="58"/>
      <c r="F221" s="14"/>
      <c r="G221" s="14"/>
    </row>
    <row r="222" spans="1:7" x14ac:dyDescent="0.25">
      <c r="A222" s="15"/>
      <c r="B222" s="15"/>
      <c r="C222" s="14"/>
      <c r="D222" s="14"/>
      <c r="E222" s="58"/>
      <c r="F222" s="14"/>
      <c r="G222" s="14"/>
    </row>
    <row r="223" spans="1:7" x14ac:dyDescent="0.25">
      <c r="A223" s="15"/>
      <c r="B223" s="15"/>
      <c r="C223" s="14"/>
      <c r="D223" s="14"/>
      <c r="E223" s="58"/>
      <c r="F223" s="14"/>
      <c r="G223" s="14"/>
    </row>
    <row r="224" spans="1:7" x14ac:dyDescent="0.25">
      <c r="A224" s="15"/>
      <c r="B224" s="15"/>
      <c r="C224" s="14"/>
      <c r="D224" s="14"/>
      <c r="E224" s="58"/>
      <c r="F224" s="14"/>
      <c r="G224" s="14"/>
    </row>
    <row r="225" spans="1:7" x14ac:dyDescent="0.25">
      <c r="A225" s="15"/>
      <c r="B225" s="15"/>
      <c r="C225" s="14"/>
      <c r="D225" s="14"/>
      <c r="E225" s="58"/>
      <c r="F225" s="14"/>
      <c r="G225" s="14"/>
    </row>
    <row r="226" spans="1:7" x14ac:dyDescent="0.25">
      <c r="A226" s="15"/>
      <c r="B226" s="15"/>
      <c r="C226" s="14"/>
      <c r="D226" s="14"/>
      <c r="E226" s="58"/>
      <c r="F226" s="14"/>
      <c r="G226" s="14"/>
    </row>
    <row r="227" spans="1:7" x14ac:dyDescent="0.25">
      <c r="A227" s="15"/>
      <c r="B227" s="15"/>
      <c r="C227" s="14"/>
      <c r="D227" s="14"/>
      <c r="E227" s="58"/>
      <c r="F227" s="14"/>
      <c r="G227" s="14"/>
    </row>
    <row r="228" spans="1:7" x14ac:dyDescent="0.25">
      <c r="A228" s="15"/>
      <c r="B228" s="15"/>
      <c r="C228" s="14"/>
      <c r="D228" s="14"/>
      <c r="E228" s="58"/>
      <c r="F228" s="14"/>
      <c r="G228" s="14"/>
    </row>
    <row r="229" spans="1:7" x14ac:dyDescent="0.25">
      <c r="A229" s="15"/>
      <c r="B229" s="15"/>
      <c r="C229" s="14"/>
      <c r="D229" s="14"/>
      <c r="E229" s="58"/>
      <c r="F229" s="14"/>
      <c r="G229" s="14"/>
    </row>
    <row r="230" spans="1:7" x14ac:dyDescent="0.25">
      <c r="A230" s="15"/>
      <c r="B230" s="15"/>
      <c r="C230" s="14"/>
      <c r="D230" s="14"/>
      <c r="E230" s="58"/>
      <c r="F230" s="14"/>
      <c r="G230" s="14"/>
    </row>
    <row r="231" spans="1:7" x14ac:dyDescent="0.25">
      <c r="A231" s="15"/>
      <c r="B231" s="15"/>
      <c r="C231" s="14"/>
      <c r="D231" s="14"/>
      <c r="E231" s="58"/>
      <c r="F231" s="14"/>
      <c r="G231" s="14"/>
    </row>
    <row r="232" spans="1:7" x14ac:dyDescent="0.25">
      <c r="A232" s="15"/>
      <c r="B232" s="15"/>
      <c r="C232" s="14"/>
      <c r="D232" s="14"/>
      <c r="E232" s="58"/>
      <c r="F232" s="14"/>
      <c r="G232" s="14"/>
    </row>
    <row r="233" spans="1:7" x14ac:dyDescent="0.25">
      <c r="A233" s="15"/>
      <c r="B233" s="15"/>
      <c r="C233" s="14"/>
      <c r="D233" s="14"/>
      <c r="E233" s="58"/>
      <c r="F233" s="14"/>
      <c r="G233" s="14"/>
    </row>
    <row r="234" spans="1:7" x14ac:dyDescent="0.25">
      <c r="A234" s="15"/>
      <c r="B234" s="15"/>
      <c r="C234" s="14"/>
      <c r="D234" s="14"/>
      <c r="E234" s="58"/>
      <c r="F234" s="14"/>
      <c r="G234" s="14"/>
    </row>
    <row r="235" spans="1:7" x14ac:dyDescent="0.25">
      <c r="A235" s="15"/>
      <c r="B235" s="15"/>
      <c r="C235" s="14"/>
      <c r="D235" s="14"/>
      <c r="E235" s="58"/>
      <c r="F235" s="14"/>
      <c r="G235" s="14"/>
    </row>
    <row r="236" spans="1:7" x14ac:dyDescent="0.25">
      <c r="A236" s="15"/>
      <c r="B236" s="15"/>
      <c r="C236" s="14"/>
      <c r="D236" s="14"/>
      <c r="E236" s="58"/>
      <c r="F236" s="14"/>
      <c r="G236" s="14"/>
    </row>
    <row r="237" spans="1:7" x14ac:dyDescent="0.25">
      <c r="A237" s="15"/>
      <c r="B237" s="15"/>
      <c r="C237" s="14"/>
      <c r="D237" s="14"/>
      <c r="E237" s="58"/>
      <c r="F237" s="14"/>
      <c r="G237" s="14"/>
    </row>
    <row r="238" spans="1:7" x14ac:dyDescent="0.25">
      <c r="A238" s="15"/>
      <c r="B238" s="15"/>
      <c r="C238" s="14"/>
      <c r="D238" s="14"/>
      <c r="E238" s="58"/>
      <c r="F238" s="14"/>
      <c r="G238" s="14"/>
    </row>
    <row r="239" spans="1:7" x14ac:dyDescent="0.25">
      <c r="A239" s="15"/>
      <c r="B239" s="15"/>
      <c r="C239" s="14"/>
      <c r="D239" s="14"/>
      <c r="E239" s="58"/>
      <c r="F239" s="14"/>
      <c r="G239" s="14"/>
    </row>
    <row r="240" spans="1:7" x14ac:dyDescent="0.25">
      <c r="A240" s="15"/>
      <c r="B240" s="15"/>
      <c r="C240" s="14"/>
      <c r="D240" s="14"/>
      <c r="E240" s="58"/>
      <c r="F240" s="14"/>
      <c r="G240" s="14"/>
    </row>
    <row r="241" spans="1:7" x14ac:dyDescent="0.25">
      <c r="A241" s="15"/>
      <c r="B241" s="15"/>
      <c r="C241" s="14"/>
      <c r="D241" s="14"/>
      <c r="E241" s="58"/>
      <c r="F241" s="14"/>
      <c r="G241" s="14"/>
    </row>
    <row r="242" spans="1:7" x14ac:dyDescent="0.25">
      <c r="A242" s="15"/>
      <c r="B242" s="15"/>
      <c r="C242" s="14"/>
      <c r="D242" s="14"/>
      <c r="E242" s="58"/>
      <c r="F242" s="14"/>
      <c r="G242" s="14"/>
    </row>
    <row r="243" spans="1:7" x14ac:dyDescent="0.25">
      <c r="A243" s="15"/>
      <c r="B243" s="15"/>
      <c r="C243" s="14"/>
      <c r="D243" s="14"/>
      <c r="E243" s="58"/>
      <c r="F243" s="14"/>
      <c r="G243" s="14"/>
    </row>
    <row r="244" spans="1:7" x14ac:dyDescent="0.25">
      <c r="A244" s="15"/>
      <c r="B244" s="15"/>
      <c r="C244" s="14"/>
      <c r="D244" s="14"/>
      <c r="E244" s="58"/>
      <c r="F244" s="14"/>
      <c r="G244" s="14"/>
    </row>
    <row r="245" spans="1:7" x14ac:dyDescent="0.25">
      <c r="A245" s="15"/>
      <c r="B245" s="15"/>
      <c r="C245" s="14"/>
      <c r="D245" s="14"/>
      <c r="E245" s="58"/>
      <c r="F245" s="14"/>
      <c r="G245" s="14"/>
    </row>
    <row r="246" spans="1:7" x14ac:dyDescent="0.25">
      <c r="A246" s="15"/>
      <c r="B246" s="15"/>
      <c r="C246" s="14"/>
      <c r="D246" s="14"/>
      <c r="E246" s="58"/>
      <c r="F246" s="14"/>
      <c r="G246" s="14"/>
    </row>
    <row r="247" spans="1:7" x14ac:dyDescent="0.25">
      <c r="A247" s="15"/>
      <c r="B247" s="15"/>
      <c r="C247" s="14"/>
      <c r="D247" s="14"/>
      <c r="E247" s="58"/>
      <c r="F247" s="14"/>
      <c r="G247" s="14"/>
    </row>
    <row r="248" spans="1:7" x14ac:dyDescent="0.25">
      <c r="A248" s="15"/>
      <c r="B248" s="15"/>
      <c r="C248" s="14"/>
      <c r="D248" s="14"/>
      <c r="E248" s="58"/>
      <c r="F248" s="14"/>
      <c r="G248" s="14"/>
    </row>
    <row r="249" spans="1:7" x14ac:dyDescent="0.25">
      <c r="A249" s="15"/>
      <c r="B249" s="15"/>
      <c r="C249" s="14"/>
      <c r="D249" s="14"/>
      <c r="E249" s="58"/>
      <c r="F249" s="14"/>
      <c r="G249" s="14"/>
    </row>
    <row r="250" spans="1:7" x14ac:dyDescent="0.25">
      <c r="A250" s="15"/>
      <c r="B250" s="15"/>
      <c r="C250" s="14"/>
      <c r="D250" s="14"/>
      <c r="E250" s="58"/>
      <c r="F250" s="14"/>
      <c r="G250" s="14"/>
    </row>
    <row r="251" spans="1:7" x14ac:dyDescent="0.25">
      <c r="A251" s="15"/>
      <c r="B251" s="15"/>
      <c r="C251" s="14"/>
      <c r="D251" s="14"/>
      <c r="E251" s="58"/>
      <c r="F251" s="14"/>
      <c r="G251" s="14"/>
    </row>
    <row r="252" spans="1:7" x14ac:dyDescent="0.25">
      <c r="A252" s="15"/>
      <c r="B252" s="15"/>
      <c r="C252" s="14"/>
      <c r="D252" s="14"/>
      <c r="E252" s="58"/>
      <c r="F252" s="14"/>
      <c r="G252" s="14"/>
    </row>
    <row r="253" spans="1:7" x14ac:dyDescent="0.25">
      <c r="A253" s="15"/>
      <c r="B253" s="15"/>
      <c r="C253" s="14"/>
      <c r="D253" s="14"/>
      <c r="E253" s="58"/>
      <c r="F253" s="14"/>
      <c r="G253" s="14"/>
    </row>
    <row r="254" spans="1:7" x14ac:dyDescent="0.25">
      <c r="A254" s="15"/>
      <c r="B254" s="15"/>
      <c r="C254" s="14"/>
      <c r="D254" s="14"/>
      <c r="E254" s="58"/>
      <c r="F254" s="14"/>
      <c r="G254" s="14"/>
    </row>
    <row r="255" spans="1:7" x14ac:dyDescent="0.25">
      <c r="A255" s="15"/>
      <c r="B255" s="15"/>
      <c r="C255" s="14"/>
      <c r="D255" s="14"/>
      <c r="E255" s="58"/>
      <c r="F255" s="14"/>
      <c r="G255" s="14"/>
    </row>
    <row r="256" spans="1:7" x14ac:dyDescent="0.25">
      <c r="A256" s="15"/>
      <c r="B256" s="15"/>
      <c r="C256" s="14"/>
      <c r="D256" s="14"/>
      <c r="E256" s="58"/>
      <c r="F256" s="14"/>
      <c r="G256" s="14"/>
    </row>
    <row r="257" spans="1:7" x14ac:dyDescent="0.25">
      <c r="A257" s="15"/>
      <c r="B257" s="15"/>
      <c r="C257" s="14"/>
      <c r="D257" s="14"/>
      <c r="E257" s="58"/>
      <c r="F257" s="14"/>
      <c r="G257" s="14"/>
    </row>
    <row r="258" spans="1:7" x14ac:dyDescent="0.25">
      <c r="A258" s="15"/>
      <c r="B258" s="15"/>
      <c r="C258" s="14"/>
      <c r="D258" s="14"/>
      <c r="E258" s="58"/>
      <c r="F258" s="14"/>
      <c r="G258" s="14"/>
    </row>
    <row r="259" spans="1:7" x14ac:dyDescent="0.25">
      <c r="A259" s="15"/>
      <c r="B259" s="15"/>
      <c r="C259" s="14"/>
      <c r="D259" s="14"/>
      <c r="E259" s="58"/>
      <c r="F259" s="14"/>
      <c r="G259" s="14"/>
    </row>
    <row r="260" spans="1:7" x14ac:dyDescent="0.25">
      <c r="A260" s="15"/>
      <c r="B260" s="15"/>
      <c r="C260" s="14"/>
      <c r="D260" s="14"/>
      <c r="E260" s="58"/>
      <c r="F260" s="14"/>
      <c r="G260" s="14"/>
    </row>
    <row r="261" spans="1:7" x14ac:dyDescent="0.25">
      <c r="A261" s="15"/>
      <c r="B261" s="15"/>
      <c r="C261" s="14"/>
      <c r="D261" s="14"/>
      <c r="E261" s="58"/>
      <c r="F261" s="14"/>
      <c r="G261" s="14"/>
    </row>
    <row r="262" spans="1:7" x14ac:dyDescent="0.25">
      <c r="A262" s="15"/>
      <c r="B262" s="15"/>
      <c r="C262" s="14"/>
      <c r="D262" s="14"/>
      <c r="E262" s="58"/>
      <c r="F262" s="14"/>
      <c r="G262" s="14"/>
    </row>
    <row r="263" spans="1:7" x14ac:dyDescent="0.25">
      <c r="A263" s="15"/>
      <c r="B263" s="15"/>
      <c r="C263" s="14"/>
      <c r="D263" s="14"/>
      <c r="E263" s="58"/>
      <c r="F263" s="14"/>
      <c r="G263" s="14"/>
    </row>
    <row r="264" spans="1:7" x14ac:dyDescent="0.25">
      <c r="A264" s="15"/>
      <c r="B264" s="15"/>
      <c r="C264" s="14"/>
      <c r="D264" s="14"/>
      <c r="E264" s="58"/>
      <c r="F264" s="14"/>
      <c r="G264" s="14"/>
    </row>
    <row r="265" spans="1:7" x14ac:dyDescent="0.25">
      <c r="A265" s="15"/>
      <c r="B265" s="15"/>
      <c r="C265" s="14"/>
      <c r="D265" s="14"/>
      <c r="E265" s="58"/>
      <c r="F265" s="14"/>
      <c r="G265" s="14"/>
    </row>
    <row r="266" spans="1:7" x14ac:dyDescent="0.25">
      <c r="A266" s="15"/>
      <c r="B266" s="15"/>
      <c r="C266" s="14"/>
      <c r="D266" s="14"/>
      <c r="E266" s="58"/>
      <c r="F266" s="14"/>
      <c r="G266" s="14"/>
    </row>
    <row r="267" spans="1:7" x14ac:dyDescent="0.25">
      <c r="A267" s="15"/>
      <c r="B267" s="15"/>
      <c r="C267" s="14"/>
      <c r="D267" s="14"/>
      <c r="E267" s="58"/>
      <c r="F267" s="14"/>
      <c r="G267" s="14"/>
    </row>
    <row r="268" spans="1:7" x14ac:dyDescent="0.25">
      <c r="A268" s="15"/>
      <c r="B268" s="15"/>
      <c r="C268" s="14"/>
      <c r="D268" s="14"/>
      <c r="E268" s="58"/>
      <c r="F268" s="14"/>
      <c r="G268" s="14"/>
    </row>
    <row r="269" spans="1:7" x14ac:dyDescent="0.25">
      <c r="A269" s="15"/>
      <c r="B269" s="15"/>
      <c r="C269" s="14"/>
      <c r="D269" s="14"/>
      <c r="E269" s="58"/>
      <c r="F269" s="14"/>
      <c r="G269" s="14"/>
    </row>
    <row r="270" spans="1:7" x14ac:dyDescent="0.25">
      <c r="A270" s="15"/>
      <c r="B270" s="15"/>
      <c r="C270" s="14"/>
      <c r="D270" s="14"/>
      <c r="E270" s="58"/>
      <c r="F270" s="14"/>
      <c r="G270" s="14"/>
    </row>
    <row r="271" spans="1:7" x14ac:dyDescent="0.25">
      <c r="A271" s="15"/>
      <c r="B271" s="15"/>
      <c r="C271" s="14"/>
      <c r="D271" s="14"/>
      <c r="E271" s="58"/>
      <c r="F271" s="14"/>
      <c r="G271" s="14"/>
    </row>
    <row r="272" spans="1:7" x14ac:dyDescent="0.25">
      <c r="A272" s="15"/>
      <c r="B272" s="15"/>
      <c r="C272" s="14"/>
      <c r="D272" s="14"/>
      <c r="E272" s="58"/>
      <c r="F272" s="14"/>
      <c r="G272" s="14"/>
    </row>
    <row r="273" spans="1:7" x14ac:dyDescent="0.25">
      <c r="A273" s="15"/>
      <c r="B273" s="15"/>
      <c r="C273" s="14"/>
      <c r="D273" s="14"/>
      <c r="E273" s="58"/>
      <c r="F273" s="14"/>
      <c r="G273" s="14"/>
    </row>
    <row r="274" spans="1:7" x14ac:dyDescent="0.25">
      <c r="A274" s="15"/>
      <c r="B274" s="15"/>
      <c r="C274" s="14"/>
      <c r="D274" s="14"/>
      <c r="E274" s="58"/>
      <c r="F274" s="14"/>
      <c r="G274" s="14"/>
    </row>
    <row r="275" spans="1:7" x14ac:dyDescent="0.25">
      <c r="A275" s="15"/>
      <c r="B275" s="15"/>
      <c r="C275" s="14"/>
      <c r="D275" s="14"/>
      <c r="E275" s="58"/>
      <c r="F275" s="14"/>
      <c r="G275" s="14"/>
    </row>
    <row r="276" spans="1:7" x14ac:dyDescent="0.25">
      <c r="A276" s="15"/>
      <c r="B276" s="15"/>
      <c r="C276" s="14"/>
      <c r="D276" s="14"/>
      <c r="E276" s="58"/>
      <c r="F276" s="14"/>
      <c r="G276" s="14"/>
    </row>
    <row r="277" spans="1:7" x14ac:dyDescent="0.25">
      <c r="A277" s="15"/>
      <c r="B277" s="15"/>
      <c r="C277" s="14"/>
      <c r="D277" s="14"/>
      <c r="E277" s="58"/>
      <c r="F277" s="14"/>
      <c r="G277" s="14"/>
    </row>
    <row r="278" spans="1:7" x14ac:dyDescent="0.25">
      <c r="A278" s="15"/>
      <c r="B278" s="15"/>
      <c r="C278" s="14"/>
      <c r="D278" s="14"/>
      <c r="E278" s="58"/>
      <c r="F278" s="14"/>
      <c r="G278" s="14"/>
    </row>
    <row r="279" spans="1:7" x14ac:dyDescent="0.25">
      <c r="A279" s="15"/>
      <c r="B279" s="15"/>
      <c r="C279" s="14"/>
      <c r="D279" s="14"/>
      <c r="E279" s="58"/>
      <c r="F279" s="14"/>
      <c r="G279" s="14"/>
    </row>
    <row r="280" spans="1:7" x14ac:dyDescent="0.25">
      <c r="A280" s="15"/>
      <c r="B280" s="15"/>
      <c r="C280" s="14"/>
      <c r="D280" s="14"/>
      <c r="E280" s="58"/>
      <c r="F280" s="14"/>
      <c r="G280" s="14"/>
    </row>
    <row r="281" spans="1:7" x14ac:dyDescent="0.25">
      <c r="A281" s="15"/>
      <c r="B281" s="15"/>
      <c r="C281" s="14"/>
      <c r="D281" s="14"/>
      <c r="E281" s="58"/>
      <c r="F281" s="14"/>
      <c r="G281" s="14"/>
    </row>
    <row r="282" spans="1:7" x14ac:dyDescent="0.25">
      <c r="A282" s="15"/>
      <c r="B282" s="15"/>
      <c r="C282" s="14"/>
      <c r="D282" s="14"/>
      <c r="E282" s="58"/>
      <c r="F282" s="14"/>
      <c r="G282" s="14"/>
    </row>
    <row r="283" spans="1:7" x14ac:dyDescent="0.25">
      <c r="A283" s="15"/>
      <c r="B283" s="15"/>
      <c r="C283" s="14"/>
      <c r="D283" s="14"/>
      <c r="E283" s="58"/>
      <c r="F283" s="14"/>
      <c r="G283" s="14"/>
    </row>
    <row r="284" spans="1:7" x14ac:dyDescent="0.25">
      <c r="A284" s="15"/>
      <c r="B284" s="15"/>
      <c r="C284" s="14"/>
      <c r="D284" s="14"/>
      <c r="E284" s="58"/>
      <c r="F284" s="14"/>
      <c r="G284" s="14"/>
    </row>
    <row r="285" spans="1:7" x14ac:dyDescent="0.25">
      <c r="A285" s="15"/>
      <c r="B285" s="15"/>
      <c r="C285" s="14"/>
      <c r="D285" s="14"/>
      <c r="E285" s="58"/>
      <c r="F285" s="14"/>
      <c r="G285" s="14"/>
    </row>
    <row r="286" spans="1:7" x14ac:dyDescent="0.25">
      <c r="A286" s="15"/>
      <c r="B286" s="15"/>
      <c r="C286" s="14"/>
      <c r="D286" s="14"/>
      <c r="E286" s="58"/>
      <c r="F286" s="14"/>
      <c r="G286" s="14"/>
    </row>
    <row r="287" spans="1:7" x14ac:dyDescent="0.25">
      <c r="A287" s="15"/>
      <c r="B287" s="15"/>
      <c r="C287" s="14"/>
      <c r="D287" s="14"/>
      <c r="E287" s="58"/>
      <c r="F287" s="14"/>
      <c r="G287" s="14"/>
    </row>
    <row r="288" spans="1:7" x14ac:dyDescent="0.25">
      <c r="A288" s="15"/>
      <c r="B288" s="15"/>
      <c r="C288" s="14"/>
      <c r="D288" s="14"/>
      <c r="E288" s="58"/>
      <c r="F288" s="14"/>
      <c r="G288" s="14"/>
    </row>
    <row r="289" spans="1:7" x14ac:dyDescent="0.25">
      <c r="A289" s="15"/>
      <c r="B289" s="15"/>
      <c r="C289" s="14"/>
      <c r="D289" s="14"/>
      <c r="E289" s="58"/>
      <c r="F289" s="14"/>
      <c r="G289" s="14"/>
    </row>
    <row r="290" spans="1:7" x14ac:dyDescent="0.25">
      <c r="A290" s="15"/>
      <c r="B290" s="15"/>
      <c r="C290" s="14"/>
      <c r="D290" s="14"/>
      <c r="E290" s="58"/>
      <c r="F290" s="14"/>
      <c r="G290" s="14"/>
    </row>
    <row r="291" spans="1:7" x14ac:dyDescent="0.25">
      <c r="A291" s="15"/>
      <c r="B291" s="15"/>
      <c r="C291" s="14"/>
      <c r="D291" s="14"/>
      <c r="E291" s="58"/>
      <c r="F291" s="14"/>
      <c r="G291" s="14"/>
    </row>
    <row r="292" spans="1:7" x14ac:dyDescent="0.25">
      <c r="A292" s="15"/>
      <c r="B292" s="15"/>
      <c r="C292" s="14"/>
      <c r="D292" s="14"/>
      <c r="E292" s="58"/>
      <c r="F292" s="14"/>
      <c r="G292" s="14"/>
    </row>
    <row r="293" spans="1:7" x14ac:dyDescent="0.25">
      <c r="A293" s="15"/>
      <c r="B293" s="15"/>
      <c r="C293" s="14"/>
      <c r="D293" s="14"/>
      <c r="E293" s="58"/>
      <c r="F293" s="14"/>
      <c r="G293" s="14"/>
    </row>
    <row r="294" spans="1:7" x14ac:dyDescent="0.25">
      <c r="A294" s="15"/>
      <c r="B294" s="15"/>
      <c r="C294" s="14"/>
      <c r="D294" s="14"/>
      <c r="E294" s="58"/>
      <c r="F294" s="14"/>
      <c r="G294" s="14"/>
    </row>
    <row r="295" spans="1:7" x14ac:dyDescent="0.25">
      <c r="A295" s="15"/>
      <c r="B295" s="15"/>
      <c r="C295" s="14"/>
      <c r="D295" s="14"/>
      <c r="E295" s="58"/>
      <c r="F295" s="14"/>
      <c r="G295" s="14"/>
    </row>
    <row r="296" spans="1:7" x14ac:dyDescent="0.25">
      <c r="A296" s="15"/>
      <c r="B296" s="15"/>
      <c r="C296" s="14"/>
      <c r="D296" s="14"/>
      <c r="E296" s="58"/>
      <c r="F296" s="14"/>
      <c r="G296" s="14"/>
    </row>
    <row r="297" spans="1:7" x14ac:dyDescent="0.25">
      <c r="A297" s="15"/>
      <c r="B297" s="15"/>
      <c r="C297" s="14"/>
      <c r="D297" s="14"/>
      <c r="E297" s="58"/>
      <c r="F297" s="14"/>
      <c r="G297" s="14"/>
    </row>
    <row r="298" spans="1:7" x14ac:dyDescent="0.25">
      <c r="A298" s="15"/>
      <c r="B298" s="15"/>
      <c r="C298" s="14"/>
      <c r="D298" s="14"/>
      <c r="E298" s="58"/>
      <c r="F298" s="14"/>
      <c r="G298" s="14"/>
    </row>
    <row r="299" spans="1:7" x14ac:dyDescent="0.25">
      <c r="A299" s="15"/>
      <c r="B299" s="15"/>
      <c r="C299" s="14"/>
      <c r="D299" s="14"/>
      <c r="E299" s="58"/>
      <c r="F299" s="14"/>
      <c r="G299" s="14"/>
    </row>
    <row r="300" spans="1:7" x14ac:dyDescent="0.25">
      <c r="A300" s="15"/>
      <c r="B300" s="15"/>
      <c r="C300" s="14"/>
      <c r="D300" s="14"/>
      <c r="E300" s="58"/>
      <c r="F300" s="14"/>
      <c r="G300" s="14"/>
    </row>
    <row r="301" spans="1:7" x14ac:dyDescent="0.25">
      <c r="A301" s="15"/>
      <c r="B301" s="15"/>
      <c r="C301" s="14"/>
      <c r="D301" s="14"/>
      <c r="E301" s="58"/>
      <c r="F301" s="14"/>
      <c r="G301" s="14"/>
    </row>
    <row r="302" spans="1:7" x14ac:dyDescent="0.25">
      <c r="A302" s="15"/>
      <c r="B302" s="15"/>
      <c r="C302" s="14"/>
      <c r="D302" s="14"/>
      <c r="E302" s="58"/>
      <c r="F302" s="14"/>
      <c r="G302" s="14"/>
    </row>
    <row r="303" spans="1:7" x14ac:dyDescent="0.25">
      <c r="A303" s="15"/>
      <c r="B303" s="15"/>
      <c r="C303" s="14"/>
      <c r="D303" s="14"/>
      <c r="E303" s="58"/>
      <c r="F303" s="14"/>
      <c r="G303" s="14"/>
    </row>
    <row r="304" spans="1:7" x14ac:dyDescent="0.25">
      <c r="A304" s="15"/>
      <c r="B304" s="15"/>
      <c r="C304" s="14"/>
      <c r="D304" s="14"/>
      <c r="E304" s="58"/>
      <c r="F304" s="14"/>
      <c r="G304" s="14"/>
    </row>
    <row r="305" spans="1:7" x14ac:dyDescent="0.25">
      <c r="A305" s="15"/>
      <c r="B305" s="15"/>
      <c r="C305" s="14"/>
      <c r="D305" s="14"/>
      <c r="E305" s="58"/>
      <c r="F305" s="14"/>
      <c r="G305" s="14"/>
    </row>
    <row r="306" spans="1:7" x14ac:dyDescent="0.25">
      <c r="A306" s="15"/>
      <c r="B306" s="15"/>
      <c r="C306" s="14"/>
      <c r="D306" s="14"/>
      <c r="E306" s="58"/>
      <c r="F306" s="14"/>
      <c r="G306" s="14"/>
    </row>
    <row r="307" spans="1:7" x14ac:dyDescent="0.25">
      <c r="A307" s="15"/>
      <c r="B307" s="15"/>
      <c r="C307" s="14"/>
      <c r="D307" s="14"/>
      <c r="E307" s="58"/>
      <c r="F307" s="14"/>
      <c r="G307" s="14"/>
    </row>
    <row r="308" spans="1:7" x14ac:dyDescent="0.25">
      <c r="A308" s="15"/>
      <c r="B308" s="15"/>
      <c r="C308" s="14"/>
      <c r="D308" s="14"/>
      <c r="E308" s="58"/>
      <c r="F308" s="14"/>
      <c r="G308" s="14"/>
    </row>
    <row r="309" spans="1:7" x14ac:dyDescent="0.25">
      <c r="A309" s="15"/>
      <c r="B309" s="15"/>
      <c r="C309" s="14"/>
      <c r="D309" s="14"/>
      <c r="E309" s="58"/>
      <c r="F309" s="14"/>
      <c r="G309" s="14"/>
    </row>
    <row r="310" spans="1:7" x14ac:dyDescent="0.25">
      <c r="A310" s="15"/>
      <c r="B310" s="15"/>
      <c r="C310" s="14"/>
      <c r="D310" s="14"/>
      <c r="E310" s="58"/>
      <c r="F310" s="14"/>
      <c r="G310" s="14"/>
    </row>
    <row r="311" spans="1:7" x14ac:dyDescent="0.25">
      <c r="A311" s="15"/>
      <c r="B311" s="15"/>
      <c r="C311" s="14"/>
      <c r="D311" s="14"/>
      <c r="E311" s="58"/>
      <c r="F311" s="14"/>
      <c r="G311" s="14"/>
    </row>
    <row r="312" spans="1:7" x14ac:dyDescent="0.25">
      <c r="A312" s="15"/>
      <c r="B312" s="15"/>
      <c r="C312" s="14"/>
      <c r="D312" s="14"/>
      <c r="E312" s="58"/>
      <c r="F312" s="14"/>
      <c r="G312" s="14"/>
    </row>
    <row r="313" spans="1:7" x14ac:dyDescent="0.25">
      <c r="A313" s="15"/>
      <c r="B313" s="15"/>
      <c r="C313" s="14"/>
      <c r="D313" s="14"/>
      <c r="E313" s="58"/>
      <c r="F313" s="14"/>
      <c r="G313" s="14"/>
    </row>
    <row r="314" spans="1:7" x14ac:dyDescent="0.25">
      <c r="A314" s="15"/>
      <c r="B314" s="15"/>
      <c r="C314" s="14"/>
      <c r="D314" s="14"/>
      <c r="E314" s="58"/>
      <c r="F314" s="14"/>
      <c r="G314" s="14"/>
    </row>
    <row r="315" spans="1:7" x14ac:dyDescent="0.25">
      <c r="A315" s="15"/>
      <c r="B315" s="15"/>
      <c r="C315" s="14"/>
      <c r="D315" s="14"/>
      <c r="E315" s="58"/>
      <c r="F315" s="14"/>
      <c r="G315" s="14"/>
    </row>
    <row r="316" spans="1:7" x14ac:dyDescent="0.25">
      <c r="A316" s="15"/>
      <c r="B316" s="15"/>
      <c r="C316" s="14"/>
      <c r="D316" s="14"/>
      <c r="E316" s="58"/>
      <c r="F316" s="14"/>
      <c r="G316" s="14"/>
    </row>
    <row r="317" spans="1:7" x14ac:dyDescent="0.25">
      <c r="A317" s="15"/>
      <c r="B317" s="15"/>
      <c r="C317" s="14"/>
      <c r="D317" s="14"/>
      <c r="E317" s="58"/>
      <c r="F317" s="14"/>
      <c r="G317" s="14"/>
    </row>
    <row r="318" spans="1:7" x14ac:dyDescent="0.25">
      <c r="A318" s="15"/>
      <c r="B318" s="15"/>
      <c r="C318" s="14"/>
      <c r="D318" s="14"/>
      <c r="E318" s="58"/>
      <c r="F318" s="14"/>
      <c r="G318" s="14"/>
    </row>
    <row r="319" spans="1:7" x14ac:dyDescent="0.25">
      <c r="A319" s="15"/>
      <c r="B319" s="15"/>
      <c r="C319" s="14"/>
      <c r="D319" s="14"/>
      <c r="E319" s="58"/>
      <c r="F319" s="14"/>
      <c r="G319" s="14"/>
    </row>
    <row r="320" spans="1:7" x14ac:dyDescent="0.25">
      <c r="A320" s="15"/>
      <c r="B320" s="15"/>
      <c r="C320" s="14"/>
      <c r="D320" s="14"/>
      <c r="E320" s="58"/>
      <c r="F320" s="14"/>
      <c r="G320" s="14"/>
    </row>
    <row r="321" spans="1:7" x14ac:dyDescent="0.25">
      <c r="A321" s="15"/>
      <c r="B321" s="15"/>
      <c r="C321" s="14"/>
      <c r="D321" s="14"/>
      <c r="E321" s="58"/>
      <c r="F321" s="14"/>
      <c r="G321" s="14"/>
    </row>
    <row r="322" spans="1:7" x14ac:dyDescent="0.25">
      <c r="A322" s="15"/>
      <c r="B322" s="15"/>
      <c r="C322" s="14"/>
      <c r="D322" s="14"/>
      <c r="E322" s="58"/>
      <c r="F322" s="14"/>
      <c r="G322" s="14"/>
    </row>
    <row r="323" spans="1:7" x14ac:dyDescent="0.25">
      <c r="A323" s="15"/>
      <c r="B323" s="15"/>
      <c r="C323" s="14"/>
      <c r="D323" s="14"/>
      <c r="E323" s="58"/>
      <c r="F323" s="14"/>
      <c r="G323" s="14"/>
    </row>
    <row r="324" spans="1:7" x14ac:dyDescent="0.25">
      <c r="A324" s="15"/>
      <c r="B324" s="15"/>
      <c r="C324" s="14"/>
      <c r="D324" s="14"/>
      <c r="E324" s="58"/>
      <c r="F324" s="14"/>
      <c r="G324" s="14"/>
    </row>
    <row r="325" spans="1:7" x14ac:dyDescent="0.25">
      <c r="A325" s="15"/>
      <c r="B325" s="15"/>
      <c r="C325" s="14"/>
      <c r="D325" s="14"/>
      <c r="E325" s="58"/>
      <c r="F325" s="14"/>
      <c r="G325" s="14"/>
    </row>
    <row r="326" spans="1:7" x14ac:dyDescent="0.25">
      <c r="A326" s="15"/>
      <c r="B326" s="15"/>
      <c r="C326" s="14"/>
      <c r="D326" s="14"/>
      <c r="E326" s="58"/>
      <c r="F326" s="14"/>
      <c r="G326" s="14"/>
    </row>
    <row r="327" spans="1:7" x14ac:dyDescent="0.25">
      <c r="A327" s="15"/>
      <c r="B327" s="15"/>
      <c r="C327" s="14"/>
      <c r="D327" s="14"/>
      <c r="E327" s="58"/>
      <c r="F327" s="14"/>
      <c r="G327" s="14"/>
    </row>
    <row r="328" spans="1:7" x14ac:dyDescent="0.25">
      <c r="A328" s="15"/>
      <c r="B328" s="15"/>
      <c r="C328" s="14"/>
      <c r="D328" s="14"/>
      <c r="E328" s="58"/>
      <c r="F328" s="14"/>
      <c r="G328" s="14"/>
    </row>
    <row r="329" spans="1:7" x14ac:dyDescent="0.25">
      <c r="A329" s="15"/>
      <c r="B329" s="15"/>
      <c r="C329" s="14"/>
      <c r="D329" s="14"/>
      <c r="E329" s="58"/>
      <c r="F329" s="14"/>
      <c r="G329" s="14"/>
    </row>
    <row r="330" spans="1:7" x14ac:dyDescent="0.25">
      <c r="A330" s="15"/>
      <c r="B330" s="15"/>
      <c r="C330" s="14"/>
      <c r="D330" s="14"/>
      <c r="E330" s="58"/>
      <c r="F330" s="14"/>
      <c r="G330" s="14"/>
    </row>
    <row r="331" spans="1:7" x14ac:dyDescent="0.25">
      <c r="A331" s="15"/>
      <c r="B331" s="15"/>
      <c r="C331" s="14"/>
      <c r="D331" s="14"/>
      <c r="E331" s="58"/>
      <c r="F331" s="14"/>
      <c r="G331" s="14"/>
    </row>
    <row r="332" spans="1:7" x14ac:dyDescent="0.25">
      <c r="A332" s="15"/>
      <c r="B332" s="15"/>
      <c r="C332" s="14"/>
      <c r="D332" s="14"/>
      <c r="E332" s="58"/>
      <c r="F332" s="14"/>
      <c r="G332" s="14"/>
    </row>
    <row r="333" spans="1:7" x14ac:dyDescent="0.25">
      <c r="A333" s="15"/>
      <c r="B333" s="15"/>
      <c r="C333" s="14"/>
      <c r="D333" s="14"/>
      <c r="E333" s="58"/>
      <c r="F333" s="14"/>
      <c r="G333" s="14"/>
    </row>
    <row r="334" spans="1:7" x14ac:dyDescent="0.25">
      <c r="A334" s="15"/>
      <c r="B334" s="15"/>
      <c r="C334" s="14"/>
      <c r="D334" s="14"/>
      <c r="E334" s="58"/>
      <c r="F334" s="14"/>
      <c r="G334" s="14"/>
    </row>
    <row r="335" spans="1:7" x14ac:dyDescent="0.25">
      <c r="A335" s="15"/>
      <c r="B335" s="15"/>
      <c r="C335" s="14"/>
      <c r="D335" s="14"/>
      <c r="E335" s="58"/>
      <c r="F335" s="14"/>
      <c r="G335" s="14"/>
    </row>
    <row r="336" spans="1:7" x14ac:dyDescent="0.25">
      <c r="A336" s="15"/>
      <c r="B336" s="15"/>
      <c r="C336" s="14"/>
      <c r="D336" s="14"/>
      <c r="E336" s="58"/>
      <c r="F336" s="14"/>
      <c r="G336" s="14"/>
    </row>
    <row r="337" spans="1:7" x14ac:dyDescent="0.25">
      <c r="A337" s="15"/>
      <c r="B337" s="15"/>
      <c r="C337" s="14"/>
      <c r="D337" s="14"/>
      <c r="E337" s="58"/>
      <c r="F337" s="14"/>
      <c r="G337" s="14"/>
    </row>
    <row r="338" spans="1:7" x14ac:dyDescent="0.25">
      <c r="A338" s="15"/>
      <c r="B338" s="15"/>
      <c r="C338" s="14"/>
      <c r="D338" s="14"/>
      <c r="E338" s="58"/>
      <c r="F338" s="14"/>
      <c r="G338" s="14"/>
    </row>
    <row r="339" spans="1:7" x14ac:dyDescent="0.25">
      <c r="A339" s="15"/>
      <c r="B339" s="15"/>
      <c r="C339" s="14"/>
      <c r="D339" s="14"/>
      <c r="E339" s="58"/>
      <c r="F339" s="14"/>
      <c r="G339" s="14"/>
    </row>
    <row r="340" spans="1:7" x14ac:dyDescent="0.25">
      <c r="A340" s="15"/>
      <c r="B340" s="15"/>
      <c r="C340" s="14"/>
      <c r="D340" s="14"/>
      <c r="E340" s="58"/>
      <c r="F340" s="14"/>
      <c r="G340" s="14"/>
    </row>
    <row r="341" spans="1:7" x14ac:dyDescent="0.25">
      <c r="A341" s="15"/>
      <c r="B341" s="15"/>
      <c r="C341" s="14"/>
      <c r="D341" s="14"/>
      <c r="E341" s="58"/>
      <c r="F341" s="14"/>
      <c r="G341" s="14"/>
    </row>
    <row r="342" spans="1:7" x14ac:dyDescent="0.25">
      <c r="A342" s="15"/>
      <c r="B342" s="15"/>
      <c r="C342" s="14"/>
      <c r="D342" s="14"/>
      <c r="E342" s="58"/>
      <c r="F342" s="14"/>
      <c r="G342" s="14"/>
    </row>
    <row r="343" spans="1:7" x14ac:dyDescent="0.25">
      <c r="A343" s="15"/>
      <c r="B343" s="15"/>
      <c r="C343" s="14"/>
      <c r="D343" s="14"/>
      <c r="E343" s="58"/>
      <c r="F343" s="14"/>
      <c r="G343" s="14"/>
    </row>
    <row r="344" spans="1:7" x14ac:dyDescent="0.25">
      <c r="A344" s="15"/>
      <c r="B344" s="15"/>
      <c r="C344" s="14"/>
      <c r="D344" s="14"/>
      <c r="E344" s="58"/>
      <c r="F344" s="14"/>
      <c r="G344" s="14"/>
    </row>
    <row r="345" spans="1:7" x14ac:dyDescent="0.25">
      <c r="A345" s="15"/>
      <c r="B345" s="15"/>
      <c r="C345" s="14"/>
      <c r="D345" s="14"/>
      <c r="E345" s="58"/>
      <c r="F345" s="14"/>
      <c r="G345" s="14"/>
    </row>
    <row r="346" spans="1:7" x14ac:dyDescent="0.25">
      <c r="A346" s="15"/>
      <c r="B346" s="15"/>
      <c r="C346" s="14"/>
      <c r="D346" s="14"/>
      <c r="E346" s="58"/>
      <c r="F346" s="14"/>
      <c r="G346" s="14"/>
    </row>
    <row r="347" spans="1:7" x14ac:dyDescent="0.25">
      <c r="A347" s="15"/>
      <c r="B347" s="15"/>
      <c r="C347" s="14"/>
      <c r="D347" s="14"/>
      <c r="E347" s="58"/>
      <c r="F347" s="14"/>
      <c r="G347" s="14"/>
    </row>
    <row r="348" spans="1:7" x14ac:dyDescent="0.25">
      <c r="A348" s="15"/>
      <c r="B348" s="15"/>
      <c r="C348" s="14"/>
      <c r="D348" s="14"/>
      <c r="E348" s="58"/>
      <c r="F348" s="14"/>
      <c r="G348" s="14"/>
    </row>
    <row r="349" spans="1:7" x14ac:dyDescent="0.25">
      <c r="A349" s="15"/>
      <c r="B349" s="15"/>
      <c r="C349" s="14"/>
      <c r="D349" s="14"/>
      <c r="E349" s="58"/>
      <c r="F349" s="14"/>
      <c r="G349" s="14"/>
    </row>
    <row r="350" spans="1:7" x14ac:dyDescent="0.25">
      <c r="A350" s="15"/>
      <c r="B350" s="15"/>
      <c r="C350" s="14"/>
      <c r="D350" s="14"/>
      <c r="E350" s="58"/>
      <c r="F350" s="14"/>
      <c r="G350" s="14"/>
    </row>
    <row r="351" spans="1:7" x14ac:dyDescent="0.25">
      <c r="A351" s="15"/>
      <c r="B351" s="15"/>
      <c r="C351" s="14"/>
      <c r="D351" s="14"/>
      <c r="E351" s="58"/>
      <c r="F351" s="14"/>
      <c r="G351" s="14"/>
    </row>
    <row r="352" spans="1:7" x14ac:dyDescent="0.25">
      <c r="A352" s="15"/>
      <c r="B352" s="15"/>
      <c r="C352" s="14"/>
      <c r="D352" s="14"/>
      <c r="E352" s="58"/>
      <c r="F352" s="14"/>
      <c r="G352" s="14"/>
    </row>
    <row r="353" spans="1:7" x14ac:dyDescent="0.25">
      <c r="A353" s="15"/>
      <c r="B353" s="15"/>
      <c r="C353" s="14"/>
      <c r="D353" s="14"/>
      <c r="E353" s="58"/>
      <c r="F353" s="14"/>
      <c r="G353" s="14"/>
    </row>
    <row r="354" spans="1:7" x14ac:dyDescent="0.25">
      <c r="A354" s="15"/>
      <c r="B354" s="15"/>
      <c r="C354" s="14"/>
      <c r="D354" s="14"/>
      <c r="E354" s="58"/>
      <c r="F354" s="14"/>
      <c r="G354" s="14"/>
    </row>
    <row r="355" spans="1:7" x14ac:dyDescent="0.25">
      <c r="A355" s="15"/>
      <c r="B355" s="15"/>
      <c r="C355" s="14"/>
      <c r="D355" s="14"/>
      <c r="E355" s="58"/>
      <c r="F355" s="14"/>
      <c r="G355" s="14"/>
    </row>
    <row r="356" spans="1:7" x14ac:dyDescent="0.25">
      <c r="A356" s="15"/>
      <c r="B356" s="15"/>
      <c r="C356" s="14"/>
      <c r="D356" s="14"/>
      <c r="E356" s="58"/>
      <c r="F356" s="14"/>
      <c r="G356" s="14"/>
    </row>
    <row r="357" spans="1:7" x14ac:dyDescent="0.25">
      <c r="A357" s="15"/>
      <c r="B357" s="15"/>
      <c r="C357" s="14"/>
      <c r="D357" s="14"/>
      <c r="E357" s="58"/>
      <c r="F357" s="14"/>
      <c r="G357" s="14"/>
    </row>
    <row r="358" spans="1:7" x14ac:dyDescent="0.25">
      <c r="A358" s="15"/>
      <c r="B358" s="15"/>
      <c r="C358" s="14"/>
      <c r="D358" s="14"/>
      <c r="E358" s="58"/>
      <c r="F358" s="14"/>
      <c r="G358" s="14"/>
    </row>
    <row r="359" spans="1:7" x14ac:dyDescent="0.25">
      <c r="A359" s="15"/>
      <c r="B359" s="15"/>
      <c r="C359" s="14"/>
      <c r="D359" s="14"/>
      <c r="E359" s="58"/>
      <c r="F359" s="14"/>
      <c r="G359" s="14"/>
    </row>
    <row r="360" spans="1:7" x14ac:dyDescent="0.25">
      <c r="A360" s="15"/>
      <c r="B360" s="15"/>
      <c r="C360" s="14"/>
      <c r="D360" s="14"/>
      <c r="E360" s="58"/>
      <c r="F360" s="14"/>
      <c r="G360" s="14"/>
    </row>
    <row r="361" spans="1:7" x14ac:dyDescent="0.25">
      <c r="A361" s="15"/>
      <c r="B361" s="15"/>
      <c r="C361" s="14"/>
      <c r="D361" s="14"/>
      <c r="E361" s="58"/>
      <c r="F361" s="14"/>
      <c r="G361" s="14"/>
    </row>
    <row r="362" spans="1:7" x14ac:dyDescent="0.25">
      <c r="A362" s="15"/>
      <c r="B362" s="15"/>
      <c r="C362" s="14"/>
      <c r="D362" s="14"/>
      <c r="E362" s="58"/>
      <c r="F362" s="14"/>
      <c r="G362" s="14"/>
    </row>
    <row r="363" spans="1:7" x14ac:dyDescent="0.25">
      <c r="A363" s="15"/>
      <c r="B363" s="15"/>
      <c r="C363" s="14"/>
      <c r="D363" s="14"/>
      <c r="E363" s="58"/>
      <c r="F363" s="14"/>
      <c r="G363" s="14"/>
    </row>
  </sheetData>
  <sortState xmlns:xlrd2="http://schemas.microsoft.com/office/spreadsheetml/2017/richdata2" ref="B4:G191">
    <sortCondition ref="C5:C191"/>
  </sortState>
  <mergeCells count="22">
    <mergeCell ref="A170:G170"/>
    <mergeCell ref="A172:G172"/>
    <mergeCell ref="A52:G52"/>
    <mergeCell ref="A47:G47"/>
    <mergeCell ref="A42:G42"/>
    <mergeCell ref="A111:G111"/>
    <mergeCell ref="A102:G102"/>
    <mergeCell ref="A97:G97"/>
    <mergeCell ref="A88:G88"/>
    <mergeCell ref="A68:G68"/>
    <mergeCell ref="A63:G63"/>
    <mergeCell ref="A165:G165"/>
    <mergeCell ref="A154:G154"/>
    <mergeCell ref="A137:G137"/>
    <mergeCell ref="A133:G133"/>
    <mergeCell ref="A129:G129"/>
    <mergeCell ref="A113:G113"/>
    <mergeCell ref="A1:G1"/>
    <mergeCell ref="A2:G2"/>
    <mergeCell ref="A4:G4"/>
    <mergeCell ref="A22:G22"/>
    <mergeCell ref="A17:G1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249AB-EC93-4B42-BCA0-1F30CB07639F}">
  <dimension ref="A1:D173"/>
  <sheetViews>
    <sheetView zoomScale="55" zoomScaleNormal="55" workbookViewId="0">
      <selection activeCell="C9" sqref="C9"/>
    </sheetView>
  </sheetViews>
  <sheetFormatPr defaultRowHeight="15" x14ac:dyDescent="0.25"/>
  <cols>
    <col min="1" max="1" width="12.140625" bestFit="1" customWidth="1"/>
    <col min="2" max="2" width="25.85546875" bestFit="1" customWidth="1"/>
    <col min="3" max="3" width="105" bestFit="1" customWidth="1"/>
    <col min="4" max="4" width="25.28515625" style="5" customWidth="1"/>
  </cols>
  <sheetData>
    <row r="1" spans="1:4" ht="30" x14ac:dyDescent="0.25">
      <c r="A1" s="96" t="s">
        <v>486</v>
      </c>
      <c r="B1" s="97"/>
      <c r="C1" s="97"/>
      <c r="D1" s="98"/>
    </row>
    <row r="2" spans="1:4" ht="35.25" x14ac:dyDescent="0.25">
      <c r="A2" s="99" t="s">
        <v>537</v>
      </c>
      <c r="B2" s="100"/>
      <c r="C2" s="100"/>
      <c r="D2" s="101"/>
    </row>
    <row r="3" spans="1:4" ht="28.5" thickBot="1" x14ac:dyDescent="0.3">
      <c r="A3" s="53" t="s">
        <v>344</v>
      </c>
      <c r="B3" s="53" t="s">
        <v>345</v>
      </c>
      <c r="C3" s="53" t="s">
        <v>346</v>
      </c>
      <c r="D3" s="102" t="s">
        <v>488</v>
      </c>
    </row>
    <row r="4" spans="1:4" ht="26.25" x14ac:dyDescent="0.25">
      <c r="A4" s="103" t="s">
        <v>538</v>
      </c>
      <c r="B4" s="91"/>
      <c r="C4" s="91"/>
      <c r="D4" s="104"/>
    </row>
    <row r="5" spans="1:4" ht="27" x14ac:dyDescent="0.5">
      <c r="A5" s="105">
        <v>1</v>
      </c>
      <c r="B5" s="93" t="s">
        <v>352</v>
      </c>
      <c r="C5" s="94" t="s">
        <v>11</v>
      </c>
      <c r="D5" s="106">
        <f>'UNILAB - RELATÓRIO VENDAS'!E6</f>
        <v>47.6</v>
      </c>
    </row>
    <row r="6" spans="1:4" ht="27" x14ac:dyDescent="0.5">
      <c r="A6" s="105">
        <v>2</v>
      </c>
      <c r="B6" s="93" t="s">
        <v>420</v>
      </c>
      <c r="C6" s="94" t="s">
        <v>15</v>
      </c>
      <c r="D6" s="106">
        <f>'UNILAB - RELATÓRIO VENDAS'!E7</f>
        <v>19</v>
      </c>
    </row>
    <row r="7" spans="1:4" ht="27" x14ac:dyDescent="0.5">
      <c r="A7" s="105">
        <v>3</v>
      </c>
      <c r="B7" s="6" t="s">
        <v>354</v>
      </c>
      <c r="C7" s="94" t="s">
        <v>16</v>
      </c>
      <c r="D7" s="106">
        <f>'UNILAB - RELATÓRIO VENDAS'!E8</f>
        <v>19</v>
      </c>
    </row>
    <row r="8" spans="1:4" ht="27" x14ac:dyDescent="0.5">
      <c r="A8" s="105">
        <v>4</v>
      </c>
      <c r="B8" s="6" t="s">
        <v>356</v>
      </c>
      <c r="C8" s="94" t="s">
        <v>19</v>
      </c>
      <c r="D8" s="106">
        <f>'UNILAB - RELATÓRIO VENDAS'!E9</f>
        <v>19</v>
      </c>
    </row>
    <row r="9" spans="1:4" ht="27" x14ac:dyDescent="0.5">
      <c r="A9" s="105">
        <v>5</v>
      </c>
      <c r="B9" s="6" t="s">
        <v>421</v>
      </c>
      <c r="C9" s="94" t="s">
        <v>20</v>
      </c>
      <c r="D9" s="106">
        <f>'UNILAB - RELATÓRIO VENDAS'!E10</f>
        <v>19</v>
      </c>
    </row>
    <row r="10" spans="1:4" ht="27" x14ac:dyDescent="0.5">
      <c r="A10" s="105">
        <v>6</v>
      </c>
      <c r="B10" s="6" t="s">
        <v>358</v>
      </c>
      <c r="C10" s="94" t="s">
        <v>27</v>
      </c>
      <c r="D10" s="106">
        <f>'UNILAB - RELATÓRIO VENDAS'!E11</f>
        <v>6</v>
      </c>
    </row>
    <row r="11" spans="1:4" ht="27" x14ac:dyDescent="0.5">
      <c r="A11" s="105">
        <v>7</v>
      </c>
      <c r="B11" s="6" t="s">
        <v>422</v>
      </c>
      <c r="C11" s="95" t="s">
        <v>28</v>
      </c>
      <c r="D11" s="106">
        <f>'UNILAB - RELATÓRIO VENDAS'!E12</f>
        <v>11.9</v>
      </c>
    </row>
    <row r="12" spans="1:4" ht="27" x14ac:dyDescent="0.5">
      <c r="A12" s="105">
        <v>8</v>
      </c>
      <c r="B12" s="6" t="s">
        <v>423</v>
      </c>
      <c r="C12" s="95" t="s">
        <v>29</v>
      </c>
      <c r="D12" s="106">
        <f>'UNILAB - RELATÓRIO VENDAS'!E13</f>
        <v>6.8</v>
      </c>
    </row>
    <row r="13" spans="1:4" ht="27" x14ac:dyDescent="0.5">
      <c r="A13" s="105">
        <v>9</v>
      </c>
      <c r="B13" s="93" t="s">
        <v>391</v>
      </c>
      <c r="C13" s="94" t="s">
        <v>33</v>
      </c>
      <c r="D13" s="106">
        <f>'UNILAB - RELATÓRIO VENDAS'!E14</f>
        <v>38</v>
      </c>
    </row>
    <row r="14" spans="1:4" ht="27" x14ac:dyDescent="0.5">
      <c r="A14" s="105">
        <v>10</v>
      </c>
      <c r="B14" s="93"/>
      <c r="C14" s="94" t="s">
        <v>34</v>
      </c>
      <c r="D14" s="106">
        <f>'UNILAB - RELATÓRIO VENDAS'!E15</f>
        <v>34</v>
      </c>
    </row>
    <row r="15" spans="1:4" ht="27" x14ac:dyDescent="0.5">
      <c r="A15" s="105">
        <v>11</v>
      </c>
      <c r="B15" s="93" t="s">
        <v>424</v>
      </c>
      <c r="C15" s="94" t="s">
        <v>34</v>
      </c>
      <c r="D15" s="106">
        <f>'UNILAB - RELATÓRIO VENDAS'!E16</f>
        <v>42.5</v>
      </c>
    </row>
    <row r="16" spans="1:4" ht="27" thickBot="1" x14ac:dyDescent="0.3">
      <c r="A16" s="107" t="s">
        <v>539</v>
      </c>
      <c r="B16" s="92"/>
      <c r="C16" s="92"/>
      <c r="D16" s="108"/>
    </row>
    <row r="17" spans="1:4" ht="27" x14ac:dyDescent="0.5">
      <c r="A17" s="109">
        <v>12</v>
      </c>
      <c r="B17" s="6" t="s">
        <v>425</v>
      </c>
      <c r="C17" s="21" t="s">
        <v>46</v>
      </c>
      <c r="D17" s="110">
        <f>'UNILAB - RELATÓRIO VENDAS'!E18</f>
        <v>8.5</v>
      </c>
    </row>
    <row r="18" spans="1:4" ht="27" x14ac:dyDescent="0.5">
      <c r="A18" s="109">
        <v>13</v>
      </c>
      <c r="B18" s="18"/>
      <c r="C18" s="19" t="s">
        <v>47</v>
      </c>
      <c r="D18" s="110">
        <f>'UNILAB - RELATÓRIO VENDAS'!E19</f>
        <v>8.5</v>
      </c>
    </row>
    <row r="19" spans="1:4" ht="27" x14ac:dyDescent="0.5">
      <c r="A19" s="109">
        <v>14</v>
      </c>
      <c r="B19" s="6" t="s">
        <v>426</v>
      </c>
      <c r="C19" s="21" t="s">
        <v>48</v>
      </c>
      <c r="D19" s="110">
        <f>'UNILAB - RELATÓRIO VENDAS'!E20</f>
        <v>47.6</v>
      </c>
    </row>
    <row r="20" spans="1:4" ht="27" x14ac:dyDescent="0.5">
      <c r="A20" s="109">
        <v>15</v>
      </c>
      <c r="B20" s="6" t="s">
        <v>427</v>
      </c>
      <c r="C20" s="19" t="s">
        <v>49</v>
      </c>
      <c r="D20" s="110">
        <f>'UNILAB - RELATÓRIO VENDAS'!E21</f>
        <v>47.6</v>
      </c>
    </row>
    <row r="21" spans="1:4" ht="26.25" x14ac:dyDescent="0.25">
      <c r="A21" s="111" t="s">
        <v>540</v>
      </c>
      <c r="B21" s="74"/>
      <c r="C21" s="74"/>
      <c r="D21" s="112"/>
    </row>
    <row r="22" spans="1:4" ht="27" x14ac:dyDescent="0.5">
      <c r="A22" s="109">
        <v>16</v>
      </c>
      <c r="B22" s="23" t="s">
        <v>494</v>
      </c>
      <c r="C22" s="21" t="s">
        <v>52</v>
      </c>
      <c r="D22" s="110">
        <f>'UNILAB - RELATÓRIO VENDAS'!E23</f>
        <v>69</v>
      </c>
    </row>
    <row r="23" spans="1:4" ht="27" x14ac:dyDescent="0.5">
      <c r="A23" s="109">
        <v>17</v>
      </c>
      <c r="B23" s="6" t="s">
        <v>495</v>
      </c>
      <c r="C23" s="19" t="s">
        <v>53</v>
      </c>
      <c r="D23" s="110">
        <f>'UNILAB - RELATÓRIO VENDAS'!E24</f>
        <v>85</v>
      </c>
    </row>
    <row r="24" spans="1:4" ht="27" x14ac:dyDescent="0.5">
      <c r="A24" s="109">
        <v>18</v>
      </c>
      <c r="B24" s="6" t="s">
        <v>496</v>
      </c>
      <c r="C24" s="21" t="s">
        <v>54</v>
      </c>
      <c r="D24" s="110">
        <f>'UNILAB - RELATÓRIO VENDAS'!E25</f>
        <v>85</v>
      </c>
    </row>
    <row r="25" spans="1:4" ht="27" x14ac:dyDescent="0.5">
      <c r="A25" s="109">
        <v>19</v>
      </c>
      <c r="B25" s="6" t="s">
        <v>428</v>
      </c>
      <c r="C25" s="21" t="s">
        <v>55</v>
      </c>
      <c r="D25" s="110">
        <f>'UNILAB - RELATÓRIO VENDAS'!E26</f>
        <v>102</v>
      </c>
    </row>
    <row r="26" spans="1:4" ht="27" x14ac:dyDescent="0.5">
      <c r="A26" s="109">
        <v>20</v>
      </c>
      <c r="B26" s="18" t="s">
        <v>429</v>
      </c>
      <c r="C26" s="19" t="s">
        <v>64</v>
      </c>
      <c r="D26" s="110">
        <f>'UNILAB - RELATÓRIO VENDAS'!E27</f>
        <v>25.5</v>
      </c>
    </row>
    <row r="27" spans="1:4" ht="27" x14ac:dyDescent="0.5">
      <c r="A27" s="109">
        <v>21</v>
      </c>
      <c r="B27" s="6" t="s">
        <v>360</v>
      </c>
      <c r="C27" s="19" t="s">
        <v>65</v>
      </c>
      <c r="D27" s="110">
        <f>'UNILAB - RELATÓRIO VENDAS'!E28</f>
        <v>7</v>
      </c>
    </row>
    <row r="28" spans="1:4" ht="27" x14ac:dyDescent="0.5">
      <c r="A28" s="109">
        <v>22</v>
      </c>
      <c r="B28" s="23" t="s">
        <v>430</v>
      </c>
      <c r="C28" s="21" t="s">
        <v>66</v>
      </c>
      <c r="D28" s="110">
        <f>'UNILAB - RELATÓRIO VENDAS'!E29</f>
        <v>11</v>
      </c>
    </row>
    <row r="29" spans="1:4" ht="27" x14ac:dyDescent="0.5">
      <c r="A29" s="109">
        <v>23</v>
      </c>
      <c r="B29" s="23" t="s">
        <v>497</v>
      </c>
      <c r="C29" s="21" t="s">
        <v>78</v>
      </c>
      <c r="D29" s="110">
        <f>'UNILAB - RELATÓRIO VENDAS'!E30</f>
        <v>6.8</v>
      </c>
    </row>
    <row r="30" spans="1:4" ht="27" x14ac:dyDescent="0.5">
      <c r="A30" s="109">
        <v>24</v>
      </c>
      <c r="B30" s="18" t="s">
        <v>431</v>
      </c>
      <c r="C30" s="19" t="s">
        <v>79</v>
      </c>
      <c r="D30" s="110">
        <f>'UNILAB - RELATÓRIO VENDAS'!E31</f>
        <v>34</v>
      </c>
    </row>
    <row r="31" spans="1:4" ht="27" x14ac:dyDescent="0.5">
      <c r="A31" s="109">
        <v>25</v>
      </c>
      <c r="B31" s="23"/>
      <c r="C31" s="21" t="s">
        <v>85</v>
      </c>
      <c r="D31" s="110">
        <f>'UNILAB - RELATÓRIO VENDAS'!E32</f>
        <v>24.5</v>
      </c>
    </row>
    <row r="32" spans="1:4" ht="27" x14ac:dyDescent="0.5">
      <c r="A32" s="109">
        <v>26</v>
      </c>
      <c r="B32" s="18" t="s">
        <v>364</v>
      </c>
      <c r="C32" s="19" t="s">
        <v>87</v>
      </c>
      <c r="D32" s="110">
        <f>'UNILAB - RELATÓRIO VENDAS'!E33</f>
        <v>58</v>
      </c>
    </row>
    <row r="33" spans="1:4" ht="27" x14ac:dyDescent="0.5">
      <c r="A33" s="109">
        <v>27</v>
      </c>
      <c r="B33" s="18" t="s">
        <v>365</v>
      </c>
      <c r="C33" s="19" t="s">
        <v>92</v>
      </c>
      <c r="D33" s="110">
        <f>'UNILAB - RELATÓRIO VENDAS'!E34</f>
        <v>23</v>
      </c>
    </row>
    <row r="34" spans="1:4" ht="27" x14ac:dyDescent="0.5">
      <c r="A34" s="109">
        <v>28</v>
      </c>
      <c r="B34" s="6" t="s">
        <v>432</v>
      </c>
      <c r="C34" s="21" t="s">
        <v>94</v>
      </c>
      <c r="D34" s="110">
        <f>'UNILAB - RELATÓRIO VENDAS'!E35</f>
        <v>23</v>
      </c>
    </row>
    <row r="35" spans="1:4" ht="27" x14ac:dyDescent="0.5">
      <c r="A35" s="109">
        <v>29</v>
      </c>
      <c r="B35" s="6" t="s">
        <v>433</v>
      </c>
      <c r="C35" s="21" t="s">
        <v>100</v>
      </c>
      <c r="D35" s="110">
        <f>'UNILAB - RELATÓRIO VENDAS'!E36</f>
        <v>37.4</v>
      </c>
    </row>
    <row r="36" spans="1:4" ht="27" x14ac:dyDescent="0.5">
      <c r="A36" s="109">
        <v>30</v>
      </c>
      <c r="B36" s="6" t="s">
        <v>434</v>
      </c>
      <c r="C36" s="19" t="s">
        <v>101</v>
      </c>
      <c r="D36" s="110">
        <f>'UNILAB - RELATÓRIO VENDAS'!E37</f>
        <v>6</v>
      </c>
    </row>
    <row r="37" spans="1:4" ht="27" x14ac:dyDescent="0.5">
      <c r="A37" s="109">
        <v>31</v>
      </c>
      <c r="B37" s="6" t="s">
        <v>366</v>
      </c>
      <c r="C37" s="19" t="s">
        <v>106</v>
      </c>
      <c r="D37" s="110">
        <f>'UNILAB - RELATÓRIO VENDAS'!E38</f>
        <v>12.3</v>
      </c>
    </row>
    <row r="38" spans="1:4" ht="27" x14ac:dyDescent="0.5">
      <c r="A38" s="109">
        <v>32</v>
      </c>
      <c r="B38" s="23"/>
      <c r="C38" s="21" t="s">
        <v>107</v>
      </c>
      <c r="D38" s="110">
        <f>'UNILAB - RELATÓRIO VENDAS'!E39</f>
        <v>12.291</v>
      </c>
    </row>
    <row r="39" spans="1:4" ht="27" x14ac:dyDescent="0.5">
      <c r="A39" s="109">
        <v>33</v>
      </c>
      <c r="B39" s="18"/>
      <c r="C39" s="19" t="s">
        <v>108</v>
      </c>
      <c r="D39" s="110">
        <f>'UNILAB - RELATÓRIO VENDAS'!E40</f>
        <v>12.291</v>
      </c>
    </row>
    <row r="40" spans="1:4" ht="27" x14ac:dyDescent="0.5">
      <c r="A40" s="109">
        <v>34</v>
      </c>
      <c r="B40" s="6" t="s">
        <v>435</v>
      </c>
      <c r="C40" s="21" t="s">
        <v>110</v>
      </c>
      <c r="D40" s="110">
        <f>'UNILAB - RELATÓRIO VENDAS'!E41</f>
        <v>45</v>
      </c>
    </row>
    <row r="41" spans="1:4" ht="26.25" x14ac:dyDescent="0.25">
      <c r="A41" s="111" t="s">
        <v>541</v>
      </c>
      <c r="B41" s="74"/>
      <c r="C41" s="74"/>
      <c r="D41" s="112"/>
    </row>
    <row r="42" spans="1:4" ht="27" x14ac:dyDescent="0.5">
      <c r="A42" s="109">
        <v>35</v>
      </c>
      <c r="B42" s="18" t="s">
        <v>499</v>
      </c>
      <c r="C42" s="19" t="s">
        <v>127</v>
      </c>
      <c r="D42" s="110">
        <f>'UNILAB - RELATÓRIO VENDAS'!E43</f>
        <v>45</v>
      </c>
    </row>
    <row r="43" spans="1:4" ht="27" x14ac:dyDescent="0.5">
      <c r="A43" s="109">
        <v>36</v>
      </c>
      <c r="B43" s="6" t="s">
        <v>436</v>
      </c>
      <c r="C43" s="21" t="s">
        <v>128</v>
      </c>
      <c r="D43" s="110">
        <f>'UNILAB - RELATÓRIO VENDAS'!E44</f>
        <v>34</v>
      </c>
    </row>
    <row r="44" spans="1:4" ht="27" x14ac:dyDescent="0.5">
      <c r="A44" s="109">
        <v>37</v>
      </c>
      <c r="B44" s="6" t="s">
        <v>437</v>
      </c>
      <c r="C44" s="19" t="s">
        <v>129</v>
      </c>
      <c r="D44" s="110">
        <f>'UNILAB - RELATÓRIO VENDAS'!E45</f>
        <v>34</v>
      </c>
    </row>
    <row r="45" spans="1:4" ht="27" x14ac:dyDescent="0.5">
      <c r="A45" s="109">
        <v>38</v>
      </c>
      <c r="B45" s="23" t="s">
        <v>438</v>
      </c>
      <c r="C45" s="21" t="s">
        <v>130</v>
      </c>
      <c r="D45" s="110">
        <f>'UNILAB - RELATÓRIO VENDAS'!E46</f>
        <v>10</v>
      </c>
    </row>
    <row r="46" spans="1:4" ht="26.25" x14ac:dyDescent="0.25">
      <c r="A46" s="111" t="s">
        <v>521</v>
      </c>
      <c r="B46" s="74"/>
      <c r="C46" s="74"/>
      <c r="D46" s="112"/>
    </row>
    <row r="47" spans="1:4" ht="27" x14ac:dyDescent="0.5">
      <c r="A47" s="109">
        <v>39</v>
      </c>
      <c r="B47" s="18"/>
      <c r="C47" s="54" t="s">
        <v>138</v>
      </c>
      <c r="D47" s="110">
        <f>'UNILAB - RELATÓRIO VENDAS'!E48</f>
        <v>47.6</v>
      </c>
    </row>
    <row r="48" spans="1:4" ht="27" x14ac:dyDescent="0.5">
      <c r="A48" s="109">
        <v>40</v>
      </c>
      <c r="B48" s="23" t="s">
        <v>439</v>
      </c>
      <c r="C48" s="55" t="s">
        <v>139</v>
      </c>
      <c r="D48" s="110">
        <f>'UNILAB - RELATÓRIO VENDAS'!E49</f>
        <v>44.199999999999996</v>
      </c>
    </row>
    <row r="49" spans="1:4" ht="27" x14ac:dyDescent="0.5">
      <c r="A49" s="109">
        <v>41</v>
      </c>
      <c r="B49" s="6" t="s">
        <v>440</v>
      </c>
      <c r="C49" s="19" t="s">
        <v>143</v>
      </c>
      <c r="D49" s="110">
        <f>'UNILAB - RELATÓRIO VENDAS'!E50</f>
        <v>33.5</v>
      </c>
    </row>
    <row r="50" spans="1:4" ht="27" x14ac:dyDescent="0.5">
      <c r="A50" s="109">
        <v>42</v>
      </c>
      <c r="B50" s="6" t="s">
        <v>441</v>
      </c>
      <c r="C50" s="21" t="s">
        <v>144</v>
      </c>
      <c r="D50" s="110">
        <f>'UNILAB - RELATÓRIO VENDAS'!E51</f>
        <v>38</v>
      </c>
    </row>
    <row r="51" spans="1:4" ht="26.25" x14ac:dyDescent="0.25">
      <c r="A51" s="111" t="s">
        <v>522</v>
      </c>
      <c r="B51" s="74"/>
      <c r="C51" s="74"/>
      <c r="D51" s="112"/>
    </row>
    <row r="52" spans="1:4" ht="27" x14ac:dyDescent="0.5">
      <c r="A52" s="109">
        <v>43</v>
      </c>
      <c r="B52" s="6" t="s">
        <v>369</v>
      </c>
      <c r="C52" s="19" t="s">
        <v>149</v>
      </c>
      <c r="D52" s="110">
        <f>'UNILAB - RELATÓRIO VENDAS'!E53</f>
        <v>34</v>
      </c>
    </row>
    <row r="53" spans="1:4" ht="27" x14ac:dyDescent="0.5">
      <c r="A53" s="109">
        <v>44</v>
      </c>
      <c r="B53" s="6" t="s">
        <v>370</v>
      </c>
      <c r="C53" s="55" t="s">
        <v>150</v>
      </c>
      <c r="D53" s="110">
        <f>'UNILAB - RELATÓRIO VENDAS'!E54</f>
        <v>30.599999999999998</v>
      </c>
    </row>
    <row r="54" spans="1:4" ht="27" x14ac:dyDescent="0.5">
      <c r="A54" s="109">
        <v>45</v>
      </c>
      <c r="B54" s="18"/>
      <c r="C54" s="54" t="s">
        <v>151</v>
      </c>
      <c r="D54" s="110">
        <f>'UNILAB - RELATÓRIO VENDAS'!E55</f>
        <v>30.599999999999998</v>
      </c>
    </row>
    <row r="55" spans="1:4" ht="27" x14ac:dyDescent="0.5">
      <c r="A55" s="109">
        <v>46</v>
      </c>
      <c r="B55" s="6" t="s">
        <v>372</v>
      </c>
      <c r="C55" s="21" t="s">
        <v>154</v>
      </c>
      <c r="D55" s="110">
        <f>'UNILAB - RELATÓRIO VENDAS'!E56</f>
        <v>59.5</v>
      </c>
    </row>
    <row r="56" spans="1:4" ht="27" x14ac:dyDescent="0.5">
      <c r="A56" s="109">
        <v>47</v>
      </c>
      <c r="B56" s="6" t="s">
        <v>442</v>
      </c>
      <c r="C56" s="19" t="s">
        <v>155</v>
      </c>
      <c r="D56" s="110">
        <f>'UNILAB - RELATÓRIO VENDAS'!E57</f>
        <v>13</v>
      </c>
    </row>
    <row r="57" spans="1:4" ht="27" x14ac:dyDescent="0.5">
      <c r="A57" s="109">
        <v>48</v>
      </c>
      <c r="B57" s="6" t="s">
        <v>443</v>
      </c>
      <c r="C57" s="21" t="s">
        <v>162</v>
      </c>
      <c r="D57" s="110">
        <f>'UNILAB - RELATÓRIO VENDAS'!E58</f>
        <v>57</v>
      </c>
    </row>
    <row r="58" spans="1:4" ht="27" x14ac:dyDescent="0.5">
      <c r="A58" s="109">
        <v>49</v>
      </c>
      <c r="B58" s="6" t="s">
        <v>444</v>
      </c>
      <c r="C58" s="19" t="s">
        <v>163</v>
      </c>
      <c r="D58" s="110">
        <f>'UNILAB - RELATÓRIO VENDAS'!E59</f>
        <v>28</v>
      </c>
    </row>
    <row r="59" spans="1:4" ht="27" x14ac:dyDescent="0.5">
      <c r="A59" s="109">
        <v>50</v>
      </c>
      <c r="B59" s="6" t="s">
        <v>445</v>
      </c>
      <c r="C59" s="21" t="s">
        <v>164</v>
      </c>
      <c r="D59" s="110">
        <f>'UNILAB - RELATÓRIO VENDAS'!E60</f>
        <v>34</v>
      </c>
    </row>
    <row r="60" spans="1:4" ht="27" x14ac:dyDescent="0.5">
      <c r="A60" s="109">
        <v>51</v>
      </c>
      <c r="B60" s="6" t="s">
        <v>446</v>
      </c>
      <c r="C60" s="19" t="s">
        <v>165</v>
      </c>
      <c r="D60" s="110">
        <f>'UNILAB - RELATÓRIO VENDAS'!E61</f>
        <v>34</v>
      </c>
    </row>
    <row r="61" spans="1:4" ht="27" x14ac:dyDescent="0.5">
      <c r="A61" s="109">
        <v>52</v>
      </c>
      <c r="B61" s="6" t="s">
        <v>447</v>
      </c>
      <c r="C61" s="21" t="s">
        <v>166</v>
      </c>
      <c r="D61" s="110">
        <f>'UNILAB - RELATÓRIO VENDAS'!E62</f>
        <v>61</v>
      </c>
    </row>
    <row r="62" spans="1:4" ht="26.25" x14ac:dyDescent="0.25">
      <c r="A62" s="111" t="s">
        <v>523</v>
      </c>
      <c r="B62" s="74"/>
      <c r="C62" s="74"/>
      <c r="D62" s="112"/>
    </row>
    <row r="63" spans="1:4" ht="27" x14ac:dyDescent="0.5">
      <c r="A63" s="109">
        <v>53</v>
      </c>
      <c r="B63" s="6" t="s">
        <v>448</v>
      </c>
      <c r="C63" s="19" t="s">
        <v>167</v>
      </c>
      <c r="D63" s="110">
        <f>'UNILAB - RELATÓRIO VENDAS'!E64</f>
        <v>8.5</v>
      </c>
    </row>
    <row r="64" spans="1:4" ht="27" x14ac:dyDescent="0.5">
      <c r="A64" s="109">
        <v>54</v>
      </c>
      <c r="B64" s="6" t="s">
        <v>449</v>
      </c>
      <c r="C64" s="21" t="s">
        <v>168</v>
      </c>
      <c r="D64" s="110">
        <f>'UNILAB - RELATÓRIO VENDAS'!E65</f>
        <v>79.5</v>
      </c>
    </row>
    <row r="65" spans="1:4" ht="27" x14ac:dyDescent="0.5">
      <c r="A65" s="109">
        <v>55</v>
      </c>
      <c r="B65" s="18" t="s">
        <v>503</v>
      </c>
      <c r="C65" s="19" t="s">
        <v>170</v>
      </c>
      <c r="D65" s="110">
        <f>'UNILAB - RELATÓRIO VENDAS'!E66</f>
        <v>6</v>
      </c>
    </row>
    <row r="66" spans="1:4" ht="27" x14ac:dyDescent="0.5">
      <c r="A66" s="109">
        <v>56</v>
      </c>
      <c r="B66" s="6" t="s">
        <v>450</v>
      </c>
      <c r="C66" s="21" t="s">
        <v>172</v>
      </c>
      <c r="D66" s="110">
        <f>'UNILAB - RELATÓRIO VENDAS'!E67</f>
        <v>51</v>
      </c>
    </row>
    <row r="67" spans="1:4" ht="26.25" x14ac:dyDescent="0.25">
      <c r="A67" s="111" t="s">
        <v>524</v>
      </c>
      <c r="B67" s="74"/>
      <c r="C67" s="74"/>
      <c r="D67" s="112"/>
    </row>
    <row r="68" spans="1:4" ht="27" x14ac:dyDescent="0.5">
      <c r="A68" s="109">
        <v>57</v>
      </c>
      <c r="B68" s="23" t="s">
        <v>177</v>
      </c>
      <c r="C68" s="21" t="s">
        <v>177</v>
      </c>
      <c r="D68" s="110">
        <f>'UNILAB - RELATÓRIO VENDAS'!E69</f>
        <v>24.5</v>
      </c>
    </row>
    <row r="69" spans="1:4" ht="27" x14ac:dyDescent="0.5">
      <c r="A69" s="109">
        <v>58</v>
      </c>
      <c r="B69" s="45" t="s">
        <v>349</v>
      </c>
      <c r="C69" s="46" t="s">
        <v>3</v>
      </c>
      <c r="D69" s="90">
        <f>'UNILAB - RELATÓRIO VENDAS'!E70</f>
        <v>23</v>
      </c>
    </row>
    <row r="70" spans="1:4" ht="27" x14ac:dyDescent="0.5">
      <c r="A70" s="109">
        <v>59</v>
      </c>
      <c r="B70" s="6" t="s">
        <v>377</v>
      </c>
      <c r="C70" s="21" t="s">
        <v>181</v>
      </c>
      <c r="D70" s="110">
        <f>'UNILAB - RELATÓRIO VENDAS'!E70</f>
        <v>23</v>
      </c>
    </row>
    <row r="71" spans="1:4" ht="27" x14ac:dyDescent="0.5">
      <c r="A71" s="109">
        <v>60</v>
      </c>
      <c r="B71" s="18"/>
      <c r="C71" s="19" t="s">
        <v>182</v>
      </c>
      <c r="D71" s="110">
        <f>'UNILAB - RELATÓRIO VENDAS'!E71</f>
        <v>23</v>
      </c>
    </row>
    <row r="72" spans="1:4" ht="27" x14ac:dyDescent="0.5">
      <c r="A72" s="109">
        <v>61</v>
      </c>
      <c r="B72" s="23" t="s">
        <v>379</v>
      </c>
      <c r="C72" s="21" t="s">
        <v>185</v>
      </c>
      <c r="D72" s="110">
        <f>'UNILAB - RELATÓRIO VENDAS'!E72</f>
        <v>13</v>
      </c>
    </row>
    <row r="73" spans="1:4" ht="27" x14ac:dyDescent="0.5">
      <c r="A73" s="109">
        <v>62</v>
      </c>
      <c r="B73" s="18" t="s">
        <v>380</v>
      </c>
      <c r="C73" s="19" t="s">
        <v>187</v>
      </c>
      <c r="D73" s="110">
        <f>'UNILAB - RELATÓRIO VENDAS'!E73</f>
        <v>8.5</v>
      </c>
    </row>
    <row r="74" spans="1:4" ht="27" x14ac:dyDescent="0.5">
      <c r="A74" s="109">
        <v>63</v>
      </c>
      <c r="B74" s="6" t="s">
        <v>451</v>
      </c>
      <c r="C74" s="21" t="s">
        <v>188</v>
      </c>
      <c r="D74" s="110">
        <f>'UNILAB - RELATÓRIO VENDAS'!E74</f>
        <v>43</v>
      </c>
    </row>
    <row r="75" spans="1:4" ht="27" x14ac:dyDescent="0.5">
      <c r="A75" s="109">
        <v>64</v>
      </c>
      <c r="B75" s="6" t="s">
        <v>452</v>
      </c>
      <c r="C75" s="19" t="s">
        <v>189</v>
      </c>
      <c r="D75" s="110">
        <f>'UNILAB - RELATÓRIO VENDAS'!E75</f>
        <v>51.5</v>
      </c>
    </row>
    <row r="76" spans="1:4" ht="27" x14ac:dyDescent="0.5">
      <c r="A76" s="109">
        <v>65</v>
      </c>
      <c r="B76" s="6" t="s">
        <v>453</v>
      </c>
      <c r="C76" s="21" t="s">
        <v>190</v>
      </c>
      <c r="D76" s="110">
        <f>'UNILAB - RELATÓRIO VENDAS'!E76</f>
        <v>45.9</v>
      </c>
    </row>
    <row r="77" spans="1:4" ht="27" x14ac:dyDescent="0.5">
      <c r="A77" s="109">
        <v>66</v>
      </c>
      <c r="B77" s="6" t="s">
        <v>454</v>
      </c>
      <c r="C77" s="19" t="s">
        <v>191</v>
      </c>
      <c r="D77" s="110">
        <f>'UNILAB - RELATÓRIO VENDAS'!E77</f>
        <v>38</v>
      </c>
    </row>
    <row r="78" spans="1:4" ht="27" x14ac:dyDescent="0.5">
      <c r="A78" s="109">
        <v>67</v>
      </c>
      <c r="B78" s="6" t="s">
        <v>455</v>
      </c>
      <c r="C78" s="21" t="s">
        <v>192</v>
      </c>
      <c r="D78" s="110">
        <f>'UNILAB - RELATÓRIO VENDAS'!E78</f>
        <v>27.5</v>
      </c>
    </row>
    <row r="79" spans="1:4" ht="27" x14ac:dyDescent="0.5">
      <c r="A79" s="109">
        <v>68</v>
      </c>
      <c r="B79" s="6" t="s">
        <v>456</v>
      </c>
      <c r="C79" s="54" t="s">
        <v>193</v>
      </c>
      <c r="D79" s="110">
        <f>'UNILAB - RELATÓRIO VENDAS'!E79</f>
        <v>51</v>
      </c>
    </row>
    <row r="80" spans="1:4" ht="27" x14ac:dyDescent="0.5">
      <c r="A80" s="109">
        <v>69</v>
      </c>
      <c r="B80" s="6" t="s">
        <v>457</v>
      </c>
      <c r="C80" s="21" t="s">
        <v>194</v>
      </c>
      <c r="D80" s="110">
        <f>'UNILAB - RELATÓRIO VENDAS'!E80</f>
        <v>57.8</v>
      </c>
    </row>
    <row r="81" spans="1:4" ht="27" x14ac:dyDescent="0.5">
      <c r="A81" s="109">
        <v>70</v>
      </c>
      <c r="B81" s="6" t="s">
        <v>458</v>
      </c>
      <c r="C81" s="19" t="s">
        <v>195</v>
      </c>
      <c r="D81" s="110">
        <f>'UNILAB - RELATÓRIO VENDAS'!E81</f>
        <v>26</v>
      </c>
    </row>
    <row r="82" spans="1:4" ht="27" x14ac:dyDescent="0.5">
      <c r="A82" s="109">
        <v>71</v>
      </c>
      <c r="B82" s="23"/>
      <c r="C82" s="21" t="s">
        <v>196</v>
      </c>
      <c r="D82" s="110">
        <f>'UNILAB - RELATÓRIO VENDAS'!E82</f>
        <v>26</v>
      </c>
    </row>
    <row r="83" spans="1:4" ht="27" x14ac:dyDescent="0.5">
      <c r="A83" s="109">
        <v>72</v>
      </c>
      <c r="B83" s="6" t="s">
        <v>459</v>
      </c>
      <c r="C83" s="19" t="s">
        <v>197</v>
      </c>
      <c r="D83" s="110">
        <f>'UNILAB - RELATÓRIO VENDAS'!E83</f>
        <v>54.5</v>
      </c>
    </row>
    <row r="84" spans="1:4" ht="27" x14ac:dyDescent="0.5">
      <c r="A84" s="109">
        <v>73</v>
      </c>
      <c r="B84" s="23"/>
      <c r="C84" s="21" t="s">
        <v>198</v>
      </c>
      <c r="D84" s="110">
        <f>'UNILAB - RELATÓRIO VENDAS'!E84</f>
        <v>54.5</v>
      </c>
    </row>
    <row r="85" spans="1:4" ht="27" x14ac:dyDescent="0.5">
      <c r="A85" s="109">
        <v>74</v>
      </c>
      <c r="B85" s="6" t="s">
        <v>460</v>
      </c>
      <c r="C85" s="19" t="s">
        <v>205</v>
      </c>
      <c r="D85" s="110">
        <f>'UNILAB - RELATÓRIO VENDAS'!E85</f>
        <v>69</v>
      </c>
    </row>
    <row r="86" spans="1:4" ht="27" x14ac:dyDescent="0.5">
      <c r="A86" s="109">
        <v>75</v>
      </c>
      <c r="B86" s="23"/>
      <c r="C86" s="21" t="s">
        <v>206</v>
      </c>
      <c r="D86" s="110">
        <f>'UNILAB - RELATÓRIO VENDAS'!E86</f>
        <v>69</v>
      </c>
    </row>
    <row r="87" spans="1:4" ht="27" x14ac:dyDescent="0.5">
      <c r="A87" s="109">
        <v>76</v>
      </c>
      <c r="B87" s="18" t="s">
        <v>461</v>
      </c>
      <c r="C87" s="54" t="s">
        <v>207</v>
      </c>
      <c r="D87" s="110">
        <f>'UNILAB - RELATÓRIO VENDAS'!E87</f>
        <v>102</v>
      </c>
    </row>
    <row r="88" spans="1:4" ht="26.25" x14ac:dyDescent="0.25">
      <c r="A88" s="111" t="s">
        <v>525</v>
      </c>
      <c r="B88" s="74"/>
      <c r="C88" s="74"/>
      <c r="D88" s="112"/>
    </row>
    <row r="89" spans="1:4" ht="27" x14ac:dyDescent="0.5">
      <c r="A89" s="109">
        <v>77</v>
      </c>
      <c r="B89" s="23"/>
      <c r="C89" s="55" t="s">
        <v>209</v>
      </c>
      <c r="D89" s="110">
        <f>'UNILAB - RELATÓRIO VENDAS'!E89</f>
        <v>51</v>
      </c>
    </row>
    <row r="90" spans="1:4" ht="27" x14ac:dyDescent="0.5">
      <c r="A90" s="109">
        <v>78</v>
      </c>
      <c r="B90" s="18"/>
      <c r="C90" s="19" t="s">
        <v>210</v>
      </c>
      <c r="D90" s="110">
        <f>'UNILAB - RELATÓRIO VENDAS'!E90</f>
        <v>42.5</v>
      </c>
    </row>
    <row r="91" spans="1:4" ht="27" x14ac:dyDescent="0.5">
      <c r="A91" s="109">
        <v>79</v>
      </c>
      <c r="B91" s="23"/>
      <c r="C91" s="55" t="s">
        <v>211</v>
      </c>
      <c r="D91" s="110">
        <f>'UNILAB - RELATÓRIO VENDAS'!E91</f>
        <v>56.1</v>
      </c>
    </row>
    <row r="92" spans="1:4" ht="27" x14ac:dyDescent="0.5">
      <c r="A92" s="109">
        <v>80</v>
      </c>
      <c r="B92" s="18"/>
      <c r="C92" s="19" t="s">
        <v>212</v>
      </c>
      <c r="D92" s="110">
        <f>'UNILAB - RELATÓRIO VENDAS'!E92</f>
        <v>42.5</v>
      </c>
    </row>
    <row r="93" spans="1:4" ht="27" x14ac:dyDescent="0.5">
      <c r="A93" s="109">
        <v>81</v>
      </c>
      <c r="B93" s="23"/>
      <c r="C93" s="55" t="s">
        <v>213</v>
      </c>
      <c r="D93" s="110">
        <f>'UNILAB - RELATÓRIO VENDAS'!E93</f>
        <v>56.1</v>
      </c>
    </row>
    <row r="94" spans="1:4" ht="27" x14ac:dyDescent="0.5">
      <c r="A94" s="109">
        <v>82</v>
      </c>
      <c r="B94" s="18"/>
      <c r="C94" s="19" t="s">
        <v>214</v>
      </c>
      <c r="D94" s="110">
        <f>'UNILAB - RELATÓRIO VENDAS'!E94</f>
        <v>25.5</v>
      </c>
    </row>
    <row r="95" spans="1:4" ht="27" x14ac:dyDescent="0.5">
      <c r="A95" s="109">
        <v>83</v>
      </c>
      <c r="B95" s="23"/>
      <c r="C95" s="21" t="s">
        <v>216</v>
      </c>
      <c r="D95" s="110">
        <f>'UNILAB - RELATÓRIO VENDAS'!E95</f>
        <v>25.5</v>
      </c>
    </row>
    <row r="96" spans="1:4" ht="27" x14ac:dyDescent="0.5">
      <c r="A96" s="109">
        <v>84</v>
      </c>
      <c r="B96" s="18"/>
      <c r="C96" s="19" t="s">
        <v>217</v>
      </c>
      <c r="D96" s="110">
        <f>'UNILAB - RELATÓRIO VENDAS'!E96</f>
        <v>25.5</v>
      </c>
    </row>
    <row r="97" spans="1:4" ht="26.25" x14ac:dyDescent="0.25">
      <c r="A97" s="111" t="s">
        <v>526</v>
      </c>
      <c r="B97" s="74"/>
      <c r="C97" s="74"/>
      <c r="D97" s="112"/>
    </row>
    <row r="98" spans="1:4" ht="27" x14ac:dyDescent="0.5">
      <c r="A98" s="109">
        <v>85</v>
      </c>
      <c r="B98" s="23"/>
      <c r="C98" s="21" t="s">
        <v>221</v>
      </c>
      <c r="D98" s="110">
        <f>'UNILAB - RELATÓRIO VENDAS'!E98</f>
        <v>34</v>
      </c>
    </row>
    <row r="99" spans="1:4" ht="27" x14ac:dyDescent="0.5">
      <c r="A99" s="109">
        <v>86</v>
      </c>
      <c r="B99" s="6" t="s">
        <v>462</v>
      </c>
      <c r="C99" s="19" t="s">
        <v>222</v>
      </c>
      <c r="D99" s="110">
        <f>'UNILAB - RELATÓRIO VENDAS'!E99</f>
        <v>34</v>
      </c>
    </row>
    <row r="100" spans="1:4" ht="27" x14ac:dyDescent="0.5">
      <c r="A100" s="109">
        <v>87</v>
      </c>
      <c r="B100" s="6" t="s">
        <v>463</v>
      </c>
      <c r="C100" s="21" t="s">
        <v>223</v>
      </c>
      <c r="D100" s="110">
        <f>'UNILAB - RELATÓRIO VENDAS'!E100</f>
        <v>27</v>
      </c>
    </row>
    <row r="101" spans="1:4" ht="27" x14ac:dyDescent="0.5">
      <c r="A101" s="109">
        <v>88</v>
      </c>
      <c r="B101" s="18" t="s">
        <v>507</v>
      </c>
      <c r="C101" s="54" t="s">
        <v>224</v>
      </c>
      <c r="D101" s="110">
        <f>'UNILAB - RELATÓRIO VENDAS'!E101</f>
        <v>22.099999999999998</v>
      </c>
    </row>
    <row r="102" spans="1:4" ht="26.25" x14ac:dyDescent="0.25">
      <c r="A102" s="111" t="s">
        <v>527</v>
      </c>
      <c r="B102" s="74"/>
      <c r="C102" s="74"/>
      <c r="D102" s="112"/>
    </row>
    <row r="103" spans="1:4" ht="27" x14ac:dyDescent="0.5">
      <c r="A103" s="109">
        <v>89</v>
      </c>
      <c r="B103" s="23" t="s">
        <v>384</v>
      </c>
      <c r="C103" s="55" t="s">
        <v>226</v>
      </c>
      <c r="D103" s="110">
        <f>'UNILAB - RELATÓRIO VENDAS'!E103</f>
        <v>12</v>
      </c>
    </row>
    <row r="104" spans="1:4" ht="27" x14ac:dyDescent="0.5">
      <c r="A104" s="109">
        <v>90</v>
      </c>
      <c r="B104" s="18"/>
      <c r="C104" s="19" t="s">
        <v>509</v>
      </c>
      <c r="D104" s="110">
        <f>'UNILAB - RELATÓRIO VENDAS'!E104</f>
        <v>37.5</v>
      </c>
    </row>
    <row r="105" spans="1:4" ht="27" x14ac:dyDescent="0.5">
      <c r="A105" s="109">
        <v>91</v>
      </c>
      <c r="B105" s="6" t="s">
        <v>464</v>
      </c>
      <c r="C105" s="21" t="s">
        <v>228</v>
      </c>
      <c r="D105" s="110">
        <f>'UNILAB - RELATÓRIO VENDAS'!E105</f>
        <v>30.599999999999998</v>
      </c>
    </row>
    <row r="106" spans="1:4" ht="27" x14ac:dyDescent="0.5">
      <c r="A106" s="109">
        <v>92</v>
      </c>
      <c r="B106" s="6" t="s">
        <v>465</v>
      </c>
      <c r="C106" s="19" t="s">
        <v>237</v>
      </c>
      <c r="D106" s="110">
        <f>'UNILAB - RELATÓRIO VENDAS'!E106</f>
        <v>8.5</v>
      </c>
    </row>
    <row r="107" spans="1:4" ht="27" x14ac:dyDescent="0.5">
      <c r="A107" s="109">
        <v>93</v>
      </c>
      <c r="B107" s="23"/>
      <c r="C107" s="21" t="s">
        <v>238</v>
      </c>
      <c r="D107" s="110">
        <f>'UNILAB - RELATÓRIO VENDAS'!E107</f>
        <v>27.2</v>
      </c>
    </row>
    <row r="108" spans="1:4" ht="27" x14ac:dyDescent="0.5">
      <c r="A108" s="109">
        <v>94</v>
      </c>
      <c r="B108" s="18"/>
      <c r="C108" s="19" t="s">
        <v>239</v>
      </c>
      <c r="D108" s="110">
        <f>'UNILAB - RELATÓRIO VENDAS'!E108</f>
        <v>27.2</v>
      </c>
    </row>
    <row r="109" spans="1:4" ht="27" x14ac:dyDescent="0.5">
      <c r="A109" s="109">
        <v>95</v>
      </c>
      <c r="B109" s="6" t="s">
        <v>466</v>
      </c>
      <c r="C109" s="21" t="s">
        <v>242</v>
      </c>
      <c r="D109" s="110">
        <f>'UNILAB - RELATÓRIO VENDAS'!E109</f>
        <v>32.299999999999997</v>
      </c>
    </row>
    <row r="110" spans="1:4" ht="27" x14ac:dyDescent="0.5">
      <c r="A110" s="109">
        <v>96</v>
      </c>
      <c r="B110" s="18"/>
      <c r="C110" s="19" t="s">
        <v>243</v>
      </c>
      <c r="D110" s="110">
        <f>'UNILAB - RELATÓRIO VENDAS'!E110</f>
        <v>32.299999999999997</v>
      </c>
    </row>
    <row r="111" spans="1:4" ht="26.25" x14ac:dyDescent="0.25">
      <c r="A111" s="111" t="s">
        <v>528</v>
      </c>
      <c r="B111" s="74"/>
      <c r="C111" s="74"/>
      <c r="D111" s="112"/>
    </row>
    <row r="112" spans="1:4" ht="27" x14ac:dyDescent="0.5">
      <c r="A112" s="109">
        <v>97</v>
      </c>
      <c r="B112" s="23" t="s">
        <v>388</v>
      </c>
      <c r="C112" s="21" t="s">
        <v>251</v>
      </c>
      <c r="D112" s="110">
        <f>'UNILAB - RELATÓRIO VENDAS'!E112</f>
        <v>68</v>
      </c>
    </row>
    <row r="113" spans="1:4" ht="26.25" x14ac:dyDescent="0.25">
      <c r="A113" s="111" t="s">
        <v>529</v>
      </c>
      <c r="B113" s="74"/>
      <c r="C113" s="74"/>
      <c r="D113" s="112"/>
    </row>
    <row r="114" spans="1:4" ht="27" x14ac:dyDescent="0.5">
      <c r="A114" s="109">
        <v>98</v>
      </c>
      <c r="B114" s="6" t="s">
        <v>393</v>
      </c>
      <c r="C114" s="19" t="s">
        <v>254</v>
      </c>
      <c r="D114" s="113">
        <f>'UNILAB - RELATÓRIO VENDAS'!E114</f>
        <v>85</v>
      </c>
    </row>
    <row r="115" spans="1:4" ht="27" x14ac:dyDescent="0.5">
      <c r="A115" s="109">
        <v>99</v>
      </c>
      <c r="B115" s="23"/>
      <c r="C115" s="21" t="s">
        <v>255</v>
      </c>
      <c r="D115" s="113">
        <f>'UNILAB - RELATÓRIO VENDAS'!E115</f>
        <v>71.399999999999991</v>
      </c>
    </row>
    <row r="116" spans="1:4" ht="27" x14ac:dyDescent="0.5">
      <c r="A116" s="109">
        <v>100</v>
      </c>
      <c r="B116" s="18" t="s">
        <v>382</v>
      </c>
      <c r="C116" s="19" t="s">
        <v>261</v>
      </c>
      <c r="D116" s="113">
        <f>'UNILAB - RELATÓRIO VENDAS'!E116</f>
        <v>6</v>
      </c>
    </row>
    <row r="117" spans="1:4" ht="27" x14ac:dyDescent="0.5">
      <c r="A117" s="109">
        <v>101</v>
      </c>
      <c r="B117" s="6" t="s">
        <v>467</v>
      </c>
      <c r="C117" s="21" t="s">
        <v>263</v>
      </c>
      <c r="D117" s="113">
        <f>'UNILAB - RELATÓRIO VENDAS'!E117</f>
        <v>45</v>
      </c>
    </row>
    <row r="118" spans="1:4" ht="27" x14ac:dyDescent="0.5">
      <c r="A118" s="109">
        <v>102</v>
      </c>
      <c r="B118" s="18" t="s">
        <v>512</v>
      </c>
      <c r="C118" s="19" t="s">
        <v>266</v>
      </c>
      <c r="D118" s="113">
        <f>'UNILAB - RELATÓRIO VENDAS'!E118</f>
        <v>36.5</v>
      </c>
    </row>
    <row r="119" spans="1:4" ht="27" x14ac:dyDescent="0.5">
      <c r="A119" s="109">
        <v>103</v>
      </c>
      <c r="B119" s="6" t="s">
        <v>468</v>
      </c>
      <c r="C119" s="21" t="s">
        <v>267</v>
      </c>
      <c r="D119" s="113">
        <f>'UNILAB - RELATÓRIO VENDAS'!E119</f>
        <v>19</v>
      </c>
    </row>
    <row r="120" spans="1:4" ht="27" x14ac:dyDescent="0.5">
      <c r="A120" s="109">
        <v>104</v>
      </c>
      <c r="B120" s="18"/>
      <c r="C120" s="56" t="s">
        <v>268</v>
      </c>
      <c r="D120" s="113">
        <f>'UNILAB - RELATÓRIO VENDAS'!E120</f>
        <v>35.699999999999996</v>
      </c>
    </row>
    <row r="121" spans="1:4" ht="27" x14ac:dyDescent="0.5">
      <c r="A121" s="109">
        <v>105</v>
      </c>
      <c r="B121" s="6" t="s">
        <v>469</v>
      </c>
      <c r="C121" s="21" t="s">
        <v>269</v>
      </c>
      <c r="D121" s="113">
        <f>'UNILAB - RELATÓRIO VENDAS'!E121</f>
        <v>35.699999999999996</v>
      </c>
    </row>
    <row r="122" spans="1:4" ht="27" x14ac:dyDescent="0.5">
      <c r="A122" s="109">
        <v>106</v>
      </c>
      <c r="B122" s="18" t="s">
        <v>389</v>
      </c>
      <c r="C122" s="19" t="s">
        <v>271</v>
      </c>
      <c r="D122" s="113">
        <f>'UNILAB - RELATÓRIO VENDAS'!E122</f>
        <v>7.5</v>
      </c>
    </row>
    <row r="123" spans="1:4" ht="27" x14ac:dyDescent="0.25">
      <c r="A123" s="109">
        <v>107</v>
      </c>
      <c r="B123" s="23"/>
      <c r="C123" s="21" t="s">
        <v>272</v>
      </c>
      <c r="D123" s="114">
        <f>'UNILAB - RELATÓRIO VENDAS'!E123</f>
        <v>7.5</v>
      </c>
    </row>
    <row r="124" spans="1:4" ht="27" x14ac:dyDescent="0.25">
      <c r="A124" s="109">
        <v>108</v>
      </c>
      <c r="B124" s="18"/>
      <c r="C124" s="19" t="s">
        <v>273</v>
      </c>
      <c r="D124" s="114">
        <f>'UNILAB - RELATÓRIO VENDAS'!E124</f>
        <v>7.5</v>
      </c>
    </row>
    <row r="125" spans="1:4" ht="27" x14ac:dyDescent="0.5">
      <c r="A125" s="109">
        <v>109</v>
      </c>
      <c r="B125" s="23"/>
      <c r="C125" s="21" t="s">
        <v>274</v>
      </c>
      <c r="D125" s="113">
        <f>'UNILAB - RELATÓRIO VENDAS'!E125</f>
        <v>7.5</v>
      </c>
    </row>
    <row r="126" spans="1:4" ht="27" x14ac:dyDescent="0.5">
      <c r="A126" s="109">
        <v>110</v>
      </c>
      <c r="B126" s="18"/>
      <c r="C126" s="19" t="s">
        <v>275</v>
      </c>
      <c r="D126" s="113">
        <f>'UNILAB - RELATÓRIO VENDAS'!E126</f>
        <v>7.5</v>
      </c>
    </row>
    <row r="127" spans="1:4" ht="27" x14ac:dyDescent="0.5">
      <c r="A127" s="109">
        <v>111</v>
      </c>
      <c r="B127" s="23"/>
      <c r="C127" s="21" t="s">
        <v>276</v>
      </c>
      <c r="D127" s="113">
        <f>'UNILAB - RELATÓRIO VENDAS'!E127</f>
        <v>7.5</v>
      </c>
    </row>
    <row r="128" spans="1:4" ht="27" x14ac:dyDescent="0.5">
      <c r="A128" s="109">
        <v>112</v>
      </c>
      <c r="B128" s="18"/>
      <c r="C128" s="19" t="s">
        <v>277</v>
      </c>
      <c r="D128" s="113">
        <f>'UNILAB - RELATÓRIO VENDAS'!E128</f>
        <v>7.5</v>
      </c>
    </row>
    <row r="129" spans="1:4" ht="26.25" x14ac:dyDescent="0.25">
      <c r="A129" s="111" t="s">
        <v>530</v>
      </c>
      <c r="B129" s="74"/>
      <c r="C129" s="74"/>
      <c r="D129" s="112"/>
    </row>
    <row r="130" spans="1:4" ht="27" x14ac:dyDescent="0.5">
      <c r="A130" s="109">
        <v>113</v>
      </c>
      <c r="B130" s="6" t="s">
        <v>470</v>
      </c>
      <c r="C130" s="21" t="s">
        <v>278</v>
      </c>
      <c r="D130" s="110">
        <f>'UNILAB - RELATÓRIO VENDAS'!E130</f>
        <v>7.5</v>
      </c>
    </row>
    <row r="131" spans="1:4" ht="27" x14ac:dyDescent="0.5">
      <c r="A131" s="109">
        <v>114</v>
      </c>
      <c r="B131" s="6" t="s">
        <v>471</v>
      </c>
      <c r="C131" s="19" t="s">
        <v>279</v>
      </c>
      <c r="D131" s="110">
        <f>'UNILAB - RELATÓRIO VENDAS'!E131</f>
        <v>27.2</v>
      </c>
    </row>
    <row r="132" spans="1:4" ht="27" x14ac:dyDescent="0.5">
      <c r="A132" s="109">
        <v>115</v>
      </c>
      <c r="B132" s="6" t="s">
        <v>472</v>
      </c>
      <c r="C132" s="21" t="s">
        <v>280</v>
      </c>
      <c r="D132" s="110">
        <f>'UNILAB - RELATÓRIO VENDAS'!E132</f>
        <v>38</v>
      </c>
    </row>
    <row r="133" spans="1:4" ht="26.25" x14ac:dyDescent="0.25">
      <c r="A133" s="111" t="s">
        <v>531</v>
      </c>
      <c r="B133" s="74"/>
      <c r="C133" s="74"/>
      <c r="D133" s="112"/>
    </row>
    <row r="134" spans="1:4" ht="27" x14ac:dyDescent="0.5">
      <c r="A134" s="109">
        <v>116</v>
      </c>
      <c r="B134" s="7" t="s">
        <v>394</v>
      </c>
      <c r="C134" s="19" t="s">
        <v>281</v>
      </c>
      <c r="D134" s="113">
        <f>'UNILAB - RELATÓRIO VENDAS'!E134</f>
        <v>12.5</v>
      </c>
    </row>
    <row r="135" spans="1:4" ht="27" x14ac:dyDescent="0.5">
      <c r="A135" s="109">
        <v>117</v>
      </c>
      <c r="B135" s="23" t="s">
        <v>473</v>
      </c>
      <c r="C135" s="21" t="s">
        <v>284</v>
      </c>
      <c r="D135" s="113">
        <f>'UNILAB - RELATÓRIO VENDAS'!E135</f>
        <v>9</v>
      </c>
    </row>
    <row r="136" spans="1:4" ht="27" x14ac:dyDescent="0.5">
      <c r="A136" s="109">
        <v>118</v>
      </c>
      <c r="B136" s="23" t="s">
        <v>515</v>
      </c>
      <c r="C136" s="21" t="s">
        <v>287</v>
      </c>
      <c r="D136" s="113">
        <f>'UNILAB - RELATÓRIO VENDAS'!E136</f>
        <v>6</v>
      </c>
    </row>
    <row r="137" spans="1:4" ht="26.25" x14ac:dyDescent="0.25">
      <c r="A137" s="111" t="s">
        <v>532</v>
      </c>
      <c r="B137" s="74"/>
      <c r="C137" s="74"/>
      <c r="D137" s="112"/>
    </row>
    <row r="138" spans="1:4" ht="27" x14ac:dyDescent="0.5">
      <c r="A138" s="109">
        <v>119</v>
      </c>
      <c r="B138" s="6" t="s">
        <v>474</v>
      </c>
      <c r="C138" s="19" t="s">
        <v>290</v>
      </c>
      <c r="D138" s="113">
        <f>'UNILAB - RELATÓRIO VENDAS'!E138</f>
        <v>23.8</v>
      </c>
    </row>
    <row r="139" spans="1:4" ht="27" x14ac:dyDescent="0.5">
      <c r="A139" s="109">
        <v>120</v>
      </c>
      <c r="B139" s="6" t="s">
        <v>475</v>
      </c>
      <c r="C139" s="21" t="s">
        <v>291</v>
      </c>
      <c r="D139" s="113">
        <f>'UNILAB - RELATÓRIO VENDAS'!E139</f>
        <v>23.8</v>
      </c>
    </row>
    <row r="140" spans="1:4" ht="27" x14ac:dyDescent="0.5">
      <c r="A140" s="109">
        <v>121</v>
      </c>
      <c r="B140" s="6" t="s">
        <v>397</v>
      </c>
      <c r="C140" s="19" t="s">
        <v>292</v>
      </c>
      <c r="D140" s="113">
        <f>'UNILAB - RELATÓRIO VENDAS'!E140</f>
        <v>24</v>
      </c>
    </row>
    <row r="141" spans="1:4" ht="27" x14ac:dyDescent="0.5">
      <c r="A141" s="109">
        <v>122</v>
      </c>
      <c r="B141" s="6" t="s">
        <v>476</v>
      </c>
      <c r="C141" s="21" t="s">
        <v>293</v>
      </c>
      <c r="D141" s="113">
        <f>'UNILAB - RELATÓRIO VENDAS'!E141</f>
        <v>24</v>
      </c>
    </row>
    <row r="142" spans="1:4" ht="27" x14ac:dyDescent="0.5">
      <c r="A142" s="109">
        <v>123</v>
      </c>
      <c r="B142" s="6" t="s">
        <v>477</v>
      </c>
      <c r="C142" s="19" t="s">
        <v>294</v>
      </c>
      <c r="D142" s="113">
        <f>'UNILAB - RELATÓRIO VENDAS'!E142</f>
        <v>8.5</v>
      </c>
    </row>
    <row r="143" spans="1:4" ht="27" x14ac:dyDescent="0.5">
      <c r="A143" s="109">
        <v>124</v>
      </c>
      <c r="B143" s="6" t="s">
        <v>478</v>
      </c>
      <c r="C143" s="55" t="s">
        <v>295</v>
      </c>
      <c r="D143" s="113">
        <f>'UNILAB - RELATÓRIO VENDAS'!E143</f>
        <v>25.5</v>
      </c>
    </row>
    <row r="144" spans="1:4" ht="27" x14ac:dyDescent="0.5">
      <c r="A144" s="109">
        <v>125</v>
      </c>
      <c r="B144" s="6" t="s">
        <v>399</v>
      </c>
      <c r="C144" s="19" t="s">
        <v>298</v>
      </c>
      <c r="D144" s="113">
        <f>'UNILAB - RELATÓRIO VENDAS'!E144</f>
        <v>39.1</v>
      </c>
    </row>
    <row r="145" spans="1:4" ht="27" x14ac:dyDescent="0.5">
      <c r="A145" s="109">
        <v>126</v>
      </c>
      <c r="B145" s="6" t="s">
        <v>401</v>
      </c>
      <c r="C145" s="21" t="s">
        <v>300</v>
      </c>
      <c r="D145" s="113">
        <f>'UNILAB - RELATÓRIO VENDAS'!E145</f>
        <v>34</v>
      </c>
    </row>
    <row r="146" spans="1:4" ht="27" x14ac:dyDescent="0.5">
      <c r="A146" s="109">
        <v>127</v>
      </c>
      <c r="B146" s="6" t="s">
        <v>479</v>
      </c>
      <c r="C146" s="19" t="s">
        <v>306</v>
      </c>
      <c r="D146" s="113">
        <f>'UNILAB - RELATÓRIO VENDAS'!E146</f>
        <v>11.559999999999999</v>
      </c>
    </row>
    <row r="147" spans="1:4" ht="27" x14ac:dyDescent="0.5">
      <c r="A147" s="109">
        <v>128</v>
      </c>
      <c r="B147" s="6" t="s">
        <v>480</v>
      </c>
      <c r="C147" s="19" t="s">
        <v>314</v>
      </c>
      <c r="D147" s="113">
        <f>'UNILAB - RELATÓRIO VENDAS'!E147</f>
        <v>27.5</v>
      </c>
    </row>
    <row r="148" spans="1:4" ht="27" x14ac:dyDescent="0.5">
      <c r="A148" s="109">
        <v>129</v>
      </c>
      <c r="B148" s="6" t="s">
        <v>481</v>
      </c>
      <c r="C148" s="21" t="s">
        <v>315</v>
      </c>
      <c r="D148" s="113">
        <f>'UNILAB - RELATÓRIO VENDAS'!E148</f>
        <v>27.5</v>
      </c>
    </row>
    <row r="149" spans="1:4" ht="27" x14ac:dyDescent="0.5">
      <c r="A149" s="109">
        <v>130</v>
      </c>
      <c r="B149" s="18" t="s">
        <v>402</v>
      </c>
      <c r="C149" s="19" t="s">
        <v>316</v>
      </c>
      <c r="D149" s="113">
        <f>'UNILAB - RELATÓRIO VENDAS'!E149</f>
        <v>6</v>
      </c>
    </row>
    <row r="150" spans="1:4" ht="27" x14ac:dyDescent="0.5">
      <c r="A150" s="109">
        <v>131</v>
      </c>
      <c r="B150" s="31" t="s">
        <v>404</v>
      </c>
      <c r="C150" s="32" t="s">
        <v>317</v>
      </c>
      <c r="D150" s="113">
        <f>'UNILAB - RELATÓRIO VENDAS'!E150</f>
        <v>6</v>
      </c>
    </row>
    <row r="151" spans="1:4" ht="27" x14ac:dyDescent="0.5">
      <c r="A151" s="109">
        <v>132</v>
      </c>
      <c r="B151" s="23" t="s">
        <v>406</v>
      </c>
      <c r="C151" s="21" t="s">
        <v>322</v>
      </c>
      <c r="D151" s="113">
        <f>'UNILAB - RELATÓRIO VENDAS'!E151</f>
        <v>8.5</v>
      </c>
    </row>
    <row r="152" spans="1:4" ht="27" x14ac:dyDescent="0.5">
      <c r="A152" s="109">
        <v>133</v>
      </c>
      <c r="B152" s="23" t="s">
        <v>407</v>
      </c>
      <c r="C152" s="55" t="s">
        <v>323</v>
      </c>
      <c r="D152" s="113">
        <f>'UNILAB - RELATÓRIO VENDAS'!E152</f>
        <v>98.6</v>
      </c>
    </row>
    <row r="153" spans="1:4" ht="27" x14ac:dyDescent="0.5">
      <c r="A153" s="109">
        <v>134</v>
      </c>
      <c r="B153" s="23" t="s">
        <v>409</v>
      </c>
      <c r="C153" s="21" t="s">
        <v>324</v>
      </c>
      <c r="D153" s="113">
        <f>'UNILAB - RELATÓRIO VENDAS'!E153</f>
        <v>23</v>
      </c>
    </row>
    <row r="154" spans="1:4" ht="26.25" x14ac:dyDescent="0.25">
      <c r="A154" s="111" t="s">
        <v>536</v>
      </c>
      <c r="B154" s="74"/>
      <c r="C154" s="74"/>
      <c r="D154" s="112"/>
    </row>
    <row r="155" spans="1:4" ht="27" x14ac:dyDescent="0.5">
      <c r="A155" s="109">
        <v>135</v>
      </c>
      <c r="B155" s="23" t="s">
        <v>410</v>
      </c>
      <c r="C155" s="21" t="s">
        <v>325</v>
      </c>
      <c r="D155" s="110">
        <f>'UNILAB - RELATÓRIO VENDAS'!E155</f>
        <v>6</v>
      </c>
    </row>
    <row r="156" spans="1:4" ht="27" x14ac:dyDescent="0.5">
      <c r="A156" s="109">
        <v>136</v>
      </c>
      <c r="B156" s="23"/>
      <c r="C156" s="21" t="s">
        <v>326</v>
      </c>
      <c r="D156" s="110">
        <f>'UNILAB - RELATÓRIO VENDAS'!E156</f>
        <v>6</v>
      </c>
    </row>
    <row r="157" spans="1:4" ht="27" x14ac:dyDescent="0.5">
      <c r="A157" s="109">
        <v>137</v>
      </c>
      <c r="B157" s="23"/>
      <c r="C157" s="21" t="s">
        <v>327</v>
      </c>
      <c r="D157" s="110">
        <f>'UNILAB - RELATÓRIO VENDAS'!E157</f>
        <v>6</v>
      </c>
    </row>
    <row r="158" spans="1:4" ht="27" x14ac:dyDescent="0.5">
      <c r="A158" s="109">
        <v>138</v>
      </c>
      <c r="B158" s="23"/>
      <c r="C158" s="21" t="s">
        <v>328</v>
      </c>
      <c r="D158" s="110">
        <f>'UNILAB - RELATÓRIO VENDAS'!E158</f>
        <v>8.5</v>
      </c>
    </row>
    <row r="159" spans="1:4" ht="27" x14ac:dyDescent="0.5">
      <c r="A159" s="109">
        <v>139</v>
      </c>
      <c r="B159" s="23" t="s">
        <v>412</v>
      </c>
      <c r="C159" s="21" t="s">
        <v>329</v>
      </c>
      <c r="D159" s="110">
        <f>'UNILAB - RELATÓRIO VENDAS'!E159</f>
        <v>8.5</v>
      </c>
    </row>
    <row r="160" spans="1:4" ht="27" x14ac:dyDescent="0.5">
      <c r="A160" s="109">
        <v>140</v>
      </c>
      <c r="B160" s="23"/>
      <c r="C160" s="21" t="s">
        <v>330</v>
      </c>
      <c r="D160" s="110">
        <f>'UNILAB - RELATÓRIO VENDAS'!E160</f>
        <v>8.5</v>
      </c>
    </row>
    <row r="161" spans="1:4" ht="27" x14ac:dyDescent="0.5">
      <c r="A161" s="109">
        <v>141</v>
      </c>
      <c r="B161" s="23"/>
      <c r="C161" s="21" t="s">
        <v>331</v>
      </c>
      <c r="D161" s="110">
        <f>'UNILAB - RELATÓRIO VENDAS'!E161</f>
        <v>34</v>
      </c>
    </row>
    <row r="162" spans="1:4" ht="27" x14ac:dyDescent="0.5">
      <c r="A162" s="109">
        <v>142</v>
      </c>
      <c r="B162" s="23"/>
      <c r="C162" s="21" t="s">
        <v>332</v>
      </c>
      <c r="D162" s="110">
        <f>'UNILAB - RELATÓRIO VENDAS'!E162</f>
        <v>34</v>
      </c>
    </row>
    <row r="163" spans="1:4" ht="27" x14ac:dyDescent="0.5">
      <c r="A163" s="109">
        <v>143</v>
      </c>
      <c r="B163" s="23"/>
      <c r="C163" s="21" t="s">
        <v>333</v>
      </c>
      <c r="D163" s="110">
        <f>'UNILAB - RELATÓRIO VENDAS'!E163</f>
        <v>34</v>
      </c>
    </row>
    <row r="164" spans="1:4" ht="27" x14ac:dyDescent="0.5">
      <c r="A164" s="109">
        <v>144</v>
      </c>
      <c r="B164" s="6" t="s">
        <v>482</v>
      </c>
      <c r="C164" s="21" t="s">
        <v>334</v>
      </c>
      <c r="D164" s="110">
        <f>'UNILAB - RELATÓRIO VENDAS'!E164</f>
        <v>34</v>
      </c>
    </row>
    <row r="165" spans="1:4" ht="26.25" x14ac:dyDescent="0.25">
      <c r="A165" s="111" t="s">
        <v>533</v>
      </c>
      <c r="B165" s="74"/>
      <c r="C165" s="74"/>
      <c r="D165" s="112"/>
    </row>
    <row r="166" spans="1:4" ht="27" x14ac:dyDescent="0.5">
      <c r="A166" s="109">
        <v>145</v>
      </c>
      <c r="B166" s="6" t="s">
        <v>483</v>
      </c>
      <c r="C166" s="21" t="s">
        <v>337</v>
      </c>
      <c r="D166" s="110">
        <f>'UNILAB - RELATÓRIO VENDAS'!E166</f>
        <v>136</v>
      </c>
    </row>
    <row r="167" spans="1:4" ht="27" x14ac:dyDescent="0.5">
      <c r="A167" s="109">
        <v>146</v>
      </c>
      <c r="B167" s="6" t="s">
        <v>416</v>
      </c>
      <c r="C167" s="21" t="s">
        <v>338</v>
      </c>
      <c r="D167" s="110">
        <f>'UNILAB - RELATÓRIO VENDAS'!E167</f>
        <v>33.404999999999994</v>
      </c>
    </row>
    <row r="168" spans="1:4" ht="27" x14ac:dyDescent="0.5">
      <c r="A168" s="109">
        <v>147</v>
      </c>
      <c r="B168" s="23"/>
      <c r="C168" s="21" t="s">
        <v>339</v>
      </c>
      <c r="D168" s="110">
        <f>'UNILAB - RELATÓRIO VENDAS'!E168</f>
        <v>136</v>
      </c>
    </row>
    <row r="169" spans="1:4" ht="27.75" thickBot="1" x14ac:dyDescent="0.55000000000000004">
      <c r="A169" s="109">
        <v>148</v>
      </c>
      <c r="B169" s="6" t="s">
        <v>484</v>
      </c>
      <c r="C169" s="21" t="s">
        <v>340</v>
      </c>
      <c r="D169" s="110">
        <f>'UNILAB - RELATÓRIO VENDAS'!E169</f>
        <v>59.5</v>
      </c>
    </row>
    <row r="170" spans="1:4" ht="27" thickBot="1" x14ac:dyDescent="0.3">
      <c r="A170" s="115" t="s">
        <v>535</v>
      </c>
      <c r="B170" s="75"/>
      <c r="C170" s="75"/>
      <c r="D170" s="116"/>
    </row>
    <row r="171" spans="1:4" ht="27.75" thickBot="1" x14ac:dyDescent="0.55000000000000004">
      <c r="A171" s="109">
        <v>149</v>
      </c>
      <c r="B171" s="23" t="s">
        <v>485</v>
      </c>
      <c r="C171" s="21" t="s">
        <v>341</v>
      </c>
      <c r="D171" s="110">
        <f>'UNILAB - RELATÓRIO VENDAS'!E171</f>
        <v>17</v>
      </c>
    </row>
    <row r="172" spans="1:4" ht="27" thickBot="1" x14ac:dyDescent="0.3">
      <c r="A172" s="115" t="s">
        <v>534</v>
      </c>
      <c r="B172" s="75"/>
      <c r="C172" s="75"/>
      <c r="D172" s="116"/>
    </row>
    <row r="173" spans="1:4" ht="27.75" thickBot="1" x14ac:dyDescent="0.55000000000000004">
      <c r="A173" s="117">
        <v>150</v>
      </c>
      <c r="B173" s="118" t="s">
        <v>419</v>
      </c>
      <c r="C173" s="119" t="s">
        <v>342</v>
      </c>
      <c r="D173" s="120">
        <f>'UNILAB - RELATÓRIO VENDAS'!E173</f>
        <v>51.5</v>
      </c>
    </row>
  </sheetData>
  <mergeCells count="22">
    <mergeCell ref="A154:D154"/>
    <mergeCell ref="A165:D165"/>
    <mergeCell ref="A170:D170"/>
    <mergeCell ref="A172:D172"/>
    <mergeCell ref="A102:D102"/>
    <mergeCell ref="A111:D111"/>
    <mergeCell ref="A113:D113"/>
    <mergeCell ref="A129:D129"/>
    <mergeCell ref="A133:D133"/>
    <mergeCell ref="A137:D137"/>
    <mergeCell ref="A97:D97"/>
    <mergeCell ref="A1:D1"/>
    <mergeCell ref="A2:D2"/>
    <mergeCell ref="A4:D4"/>
    <mergeCell ref="A16:D16"/>
    <mergeCell ref="A21:D21"/>
    <mergeCell ref="A41:D41"/>
    <mergeCell ref="A46:D46"/>
    <mergeCell ref="A51:D51"/>
    <mergeCell ref="A62:D62"/>
    <mergeCell ref="A67:D67"/>
    <mergeCell ref="A88:D88"/>
  </mergeCells>
  <conditionalFormatting sqref="A5:D15 A17:D20">
    <cfRule type="expression" dxfId="2" priority="9">
      <formula>MOD(ROW(),2)=0</formula>
    </cfRule>
  </conditionalFormatting>
  <conditionalFormatting sqref="A22:D40 A42:D45 A47:D50 A52:D61 A63:D66 A68:D87 A89:D96 A98:D101 A103:D110 A112:D153 A155:D169 A171:D171 A173:D173">
    <cfRule type="expression" dxfId="1" priority="1">
      <formula>MOD(ROW(),2)=0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UNILAB - CUSTOS</vt:lpstr>
      <vt:lpstr>UNILAB - MAIS VENDIDOS</vt:lpstr>
      <vt:lpstr>UNILAB - RELATÓRIO VENDAS</vt:lpstr>
      <vt:lpstr>UNILAB - VENDAS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Aline da Silva Antônio</dc:creator>
  <cp:keywords/>
  <dc:description/>
  <cp:lastModifiedBy>User</cp:lastModifiedBy>
  <cp:revision/>
  <cp:lastPrinted>2026-03-27T20:00:18Z</cp:lastPrinted>
  <dcterms:created xsi:type="dcterms:W3CDTF">2025-11-18T18:34:13Z</dcterms:created>
  <dcterms:modified xsi:type="dcterms:W3CDTF">2026-03-27T20:13:48Z</dcterms:modified>
  <cp:category/>
  <cp:contentStatus/>
</cp:coreProperties>
</file>