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63D7F8-F99F-45CE-ACBA-D5AF1126CCAA}" xr6:coauthVersionLast="47" xr6:coauthVersionMax="47" xr10:uidLastSave="{00000000-0000-0000-0000-000000000000}"/>
  <bookViews>
    <workbookView xWindow="-120" yWindow="-120" windowWidth="20730" windowHeight="11160" xr2:uid="{3B7A374D-D214-4E21-80FE-B918E60F78FE}"/>
  </bookViews>
  <sheets>
    <sheet name="IRPP VENDA" sheetId="1" r:id="rId1"/>
    <sheet name="IRPP MAIS USADOS" sheetId="2" r:id="rId2"/>
  </sheets>
  <externalReferences>
    <externalReference r:id="rId3"/>
  </externalReferences>
  <definedNames>
    <definedName name="_xlnm.Print_Area" localSheetId="0">'IRPP VENDA'!$B$90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2" i="1" l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100" i="1"/>
  <c r="C101" i="1"/>
  <c r="C116" i="1" l="1"/>
  <c r="C117" i="1"/>
  <c r="C119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4" i="1"/>
  <c r="C213" i="1"/>
  <c r="C212" i="1"/>
  <c r="C211" i="1"/>
  <c r="C210" i="1"/>
  <c r="C209" i="1"/>
  <c r="C205" i="1"/>
  <c r="C204" i="1"/>
  <c r="C202" i="1"/>
  <c r="C201" i="1"/>
  <c r="C200" i="1"/>
  <c r="C199" i="1"/>
  <c r="C198" i="1"/>
  <c r="C197" i="1"/>
  <c r="C196" i="1"/>
  <c r="C195" i="1"/>
  <c r="C194" i="1"/>
  <c r="C193" i="1"/>
  <c r="C191" i="1"/>
  <c r="C190" i="1"/>
  <c r="C189" i="1"/>
  <c r="C188" i="1"/>
  <c r="C186" i="1"/>
  <c r="C185" i="1"/>
  <c r="C184" i="1"/>
  <c r="C183" i="1"/>
  <c r="C182" i="1"/>
  <c r="C180" i="1"/>
  <c r="C179" i="1"/>
  <c r="C174" i="1"/>
  <c r="C169" i="1"/>
  <c r="C168" i="1"/>
  <c r="C165" i="1"/>
  <c r="C164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7" i="1"/>
  <c r="C126" i="1"/>
  <c r="C125" i="1"/>
  <c r="C124" i="1"/>
  <c r="C123" i="1"/>
  <c r="C122" i="1"/>
  <c r="C121" i="1"/>
  <c r="C120" i="1"/>
  <c r="C118" i="1"/>
  <c r="C114" i="1"/>
  <c r="C113" i="1"/>
  <c r="C112" i="1"/>
  <c r="C110" i="1"/>
  <c r="C109" i="1"/>
  <c r="C108" i="1"/>
  <c r="C107" i="1"/>
  <c r="C106" i="1"/>
  <c r="C105" i="1"/>
  <c r="C104" i="1"/>
  <c r="C103" i="1"/>
  <c r="C102" i="1"/>
  <c r="C81" i="1"/>
  <c r="C80" i="1"/>
  <c r="C22" i="2" s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3" i="1"/>
  <c r="C62" i="1"/>
  <c r="C61" i="1"/>
  <c r="C13" i="2" s="1"/>
  <c r="C60" i="1"/>
  <c r="C11" i="2" s="1"/>
  <c r="C59" i="1"/>
  <c r="C10" i="2" s="1"/>
  <c r="C57" i="1"/>
  <c r="C56" i="1"/>
  <c r="C55" i="1"/>
  <c r="C54" i="1"/>
  <c r="C53" i="1"/>
  <c r="C52" i="1"/>
  <c r="C51" i="1"/>
  <c r="C50" i="1"/>
  <c r="C49" i="1"/>
  <c r="C48" i="1"/>
  <c r="C47" i="1"/>
  <c r="C46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29" i="1"/>
  <c r="C28" i="1"/>
  <c r="C27" i="1"/>
  <c r="C26" i="1"/>
  <c r="C25" i="1"/>
  <c r="C24" i="1"/>
  <c r="C23" i="1"/>
  <c r="C22" i="1"/>
  <c r="C21" i="1"/>
  <c r="C20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<sst xmlns="http://schemas.openxmlformats.org/spreadsheetml/2006/main" count="270" uniqueCount="221">
  <si>
    <t>CENTRO MEDICO INTEGRADO - 2026</t>
  </si>
  <si>
    <t>INSTITUTO DE RADIOLOGIA - EXAMES DE IMAGEM</t>
  </si>
  <si>
    <t>QTDE</t>
  </si>
  <si>
    <t>EXAME</t>
  </si>
  <si>
    <t>VALOR</t>
  </si>
  <si>
    <t xml:space="preserve">CABEÇA </t>
  </si>
  <si>
    <t>RX - ADENOIDES OU CAVUM</t>
  </si>
  <si>
    <t>RX - ARCOS ZIGOMATICOS OU MALAR OU APOFISES ESTILOIDES</t>
  </si>
  <si>
    <t>RX - ARTICULACAO TEMPOROMANDIBULAR - BILATERAL</t>
  </si>
  <si>
    <t>RX - CRANIO - 2 INCIDENCIAS</t>
  </si>
  <si>
    <t>RX - CRANIO - 3 INCIDENCIAS</t>
  </si>
  <si>
    <t>RX - CRANIO - 4 INCIDENCIAS</t>
  </si>
  <si>
    <t>RX - MAXILAR INFERIOR</t>
  </si>
  <si>
    <t>RX - ORBITAS - BILATERAL</t>
  </si>
  <si>
    <t>RX - ORELHA, MASTOIDES OU ROCHEDOS - BILATERAL</t>
  </si>
  <si>
    <t>RX - OSSOS DA FACE</t>
  </si>
  <si>
    <t>RX - SEIOS DA FACE</t>
  </si>
  <si>
    <t>RX - SELA TURCICA</t>
  </si>
  <si>
    <t>RX - INCIDENCIA ADICIONAL MEMBRO SUPERIOR</t>
  </si>
  <si>
    <t>RX - INCIDENCIA ADICIONAL MEMBRO INFERIOR</t>
  </si>
  <si>
    <t>COLUNA</t>
  </si>
  <si>
    <t>RX - COLUNA CERVICAL</t>
  </si>
  <si>
    <t>RX - COLUNA CERVICAL COM OBLIQUAS</t>
  </si>
  <si>
    <t>RX - COLUNA CERVICAL DINAMICA (5 INCIDENCIAS)</t>
  </si>
  <si>
    <t>RX - COLUNA DORSAL (TORÁCICA)</t>
  </si>
  <si>
    <t>RX - COLUNA DORSAL COM OBLIQUAS</t>
  </si>
  <si>
    <t>RX - COLUNA DORSO LOMBAR PARA ESCOLIOSE (TORACO LOMBAR)</t>
  </si>
  <si>
    <t>RX - COLUNA LOMBO SACRA 3 INCIDENCIAS</t>
  </si>
  <si>
    <t>RX - COLUNA LOMBO SACRA OBLIQUAS (5 INCIDENCIAS)</t>
  </si>
  <si>
    <t>RX - COLUNA TOTAL PARA ESCOLIOSE (PANORÂMICA)</t>
  </si>
  <si>
    <t>RX - SACRO-COCCIX</t>
  </si>
  <si>
    <t>SUPERIOR</t>
  </si>
  <si>
    <t>RX - ANTEBRACO</t>
  </si>
  <si>
    <t>RX - ARTICULACAO ACROMIOCLAVICULAR</t>
  </si>
  <si>
    <t>RX - ARTICULACAO ESCAPULOUMERAL (OMBRO)</t>
  </si>
  <si>
    <t>RX - ARTICULACAO ESTERNOCLAVICULAR</t>
  </si>
  <si>
    <t>RX - BRACO (ÚMERO)</t>
  </si>
  <si>
    <t>RX - CLAVICULA</t>
  </si>
  <si>
    <t>RX - COSTELAS - POR HEMITORAX (ARCOS COSTAIS)</t>
  </si>
  <si>
    <t>RX - COTOVELO</t>
  </si>
  <si>
    <t>RX - ESCAFOIDE</t>
  </si>
  <si>
    <t>RX - ESTERNO (entre a clavícula e costelas sup.)</t>
  </si>
  <si>
    <t>RX - MÃO OU PUNHO</t>
  </si>
  <si>
    <t>RX - MAO OU QUIRODACTILO</t>
  </si>
  <si>
    <t>RX - MAOS E PUNHOS PARA IDADE OSSEA</t>
  </si>
  <si>
    <t>RX - OMOPLATA OU ESCAPULA</t>
  </si>
  <si>
    <t>INFERIOR</t>
  </si>
  <si>
    <t>RX - ARTICULACAO COXOFEMORAL UNILATERAL (QUADRIL)</t>
  </si>
  <si>
    <t>RX - ARTICULACAO TIBIOTARSICA UNILATERAL (TORNOZELO)_x000D_
*maléolo</t>
  </si>
  <si>
    <t>RX - ARTICULACOES SACROILIACAS UNILATERAL</t>
  </si>
  <si>
    <t>RX - BACIA</t>
  </si>
  <si>
    <t>RX - CALCANEO</t>
  </si>
  <si>
    <t>RX - COXA (FÊMUR)</t>
  </si>
  <si>
    <t>RX - ESCANOMETRIA (medida do membro)</t>
  </si>
  <si>
    <t>RX - JOELHO</t>
  </si>
  <si>
    <t>RX - PANORAMICA DOS MEMBROS INFERIORES</t>
  </si>
  <si>
    <t>RX - PATELA</t>
  </si>
  <si>
    <t>RX - PE OU PODODACTILO</t>
  </si>
  <si>
    <t>RX - PERNA</t>
  </si>
  <si>
    <t>TORAX</t>
  </si>
  <si>
    <t>RX - TORAX - 1 INCIDENCIA (PA OU AP)</t>
  </si>
  <si>
    <t>RX - TORAX - 2 INCIDENCIAS (AP + P)</t>
  </si>
  <si>
    <t>RX - TORAX - 3 INCIDENCIAS (AP + P e OBLIQUAS)</t>
  </si>
  <si>
    <t>RX - ABDOME SIMPLES</t>
  </si>
  <si>
    <t>RX - ABDOME AGUDO</t>
  </si>
  <si>
    <t>MAMA/ BIÓPSIAS</t>
  </si>
  <si>
    <t>PAAF DE MAMA COM AGULHA FINA 1 NÓDULO (NÃO INCLUI LABORATÓRIO)</t>
  </si>
  <si>
    <t>PAAF DE MAMA COM AGULHA FINA 2 NÓDULOS (NÃO INCLUI LABORATORIO)</t>
  </si>
  <si>
    <t>PAAF DE MAMA COM AGULHA FINA 3 NÓDULOS (NÃO INCLUI LABORATÓRIO)</t>
  </si>
  <si>
    <t>PAAF DE MAMA COM AGULHA FINA 4 NÓDULOS (NÃO INCLUI LABORATORIO)</t>
  </si>
  <si>
    <t>BIÓPSIA DE PROSTATA TRANSRETAL (NÃO INCLUI LABORATORIO)</t>
  </si>
  <si>
    <t>BIÓPSIA RENAL OU HEPÁTICA GUIADA POR TOMOGRAFIA (NÃO INCLUI LABORATORIO)</t>
  </si>
  <si>
    <t>BIÓPSIA TIREOIDE AGULHA FINA (PAFF) 1 NÓDULO (NÃO INCLUI LABORATORIO)</t>
  </si>
  <si>
    <t>BIÓPSIA TIREOIDE AGULHA FINA (PAFF) 2 NÓDULOS (NÃO INCLUI LABORATORIO)</t>
  </si>
  <si>
    <t>BIÓPSIA TIREOIDE AGULHA FINA (PAFF) 3 NÓDULOS (NÃO INCLUI LABORATORIO)</t>
  </si>
  <si>
    <t>BIÓPSIA TIREOIDE AGULHA FINA (PAFF) 4 NÓDULOS (NÃO INCLUI LABORATORIO)</t>
  </si>
  <si>
    <t>CORE BIOPSY 1 NÓDULO (NÃO INCLUI LABORATORIO)</t>
  </si>
  <si>
    <t>CORE BIOPSY 2 NÓDULOS (NÃO INCLUI LABORATORIO)</t>
  </si>
  <si>
    <t>CORE BIOPSY 3 NÓDULOS (NÃO INCLUI LABORATORIO)</t>
  </si>
  <si>
    <t>CORE BIOPSY 4 NÓDULOS (NÃO INCLUI LABORATORIO)</t>
  </si>
  <si>
    <t>MAMOGRAFIA BILATERAL</t>
  </si>
  <si>
    <t>DENSITOMETRIA OSSEA - ROTINA: COLUNA E FEMUR (OU DOIS SEGMENTOS)</t>
  </si>
  <si>
    <t>ULTRASSONOGRAFIA</t>
  </si>
  <si>
    <t>US - ABDOME INFERIOR FEMININO (BEXIGA, UTERO, OVARIO E ANEXOS)</t>
  </si>
  <si>
    <t>US - APARELHO URINARIO FEMININO</t>
  </si>
  <si>
    <t>US - APARELHO URINARIO MASCULINO</t>
  </si>
  <si>
    <t>US - ORGAOS SUPERFICIAIS (TIREOIDE OU ESCROTO OU PENIS OU CRANIO)</t>
  </si>
  <si>
    <t>US - PROSTATA TRANSRETAL (NAO INCLUI ABDOME INFERIOR MASCULINO)</t>
  </si>
  <si>
    <t>US - RETROPERITONIO (GRANDES VASOS OU ADRENAIS)</t>
  </si>
  <si>
    <t>US - TRANSVAGINAL (UTERO, OVARIO, ANEXOS E VAGINA)</t>
  </si>
  <si>
    <t>US - TRANSVAGINAL PARA CONTROLE DE OVULACAO (3 OU MAIS EXAMES)</t>
  </si>
  <si>
    <t>US- TRANSVAGINAL COM PREPARO INSTESTINAL</t>
  </si>
  <si>
    <t>ELASTOGRAFIA</t>
  </si>
  <si>
    <t>US DERMATOLOGICO</t>
  </si>
  <si>
    <t xml:space="preserve">INDISPONÍVEL </t>
  </si>
  <si>
    <t>US - OBSTETRICA MORFOLOGICA DO 1º TRIMESTRE COM DOPPLER + MEDIDA DO COLO</t>
  </si>
  <si>
    <t>US - OBSTETRICA MORFOLOGICA DO 2º TRIMESTRE COM DOPPLER + MEDIDA DO COLO</t>
  </si>
  <si>
    <t>DOPPLER COLORIDO ARTERIAL DE MEMBRO INFERIOR - UNILATERAL</t>
  </si>
  <si>
    <t>DOPPLER COLORIDO ARTERIAL DE MEMBRO SUPERIOR - UNILATERAL</t>
  </si>
  <si>
    <t>DOPPLER COLORIDO DE AORTA E ARTERIAS RENAIS</t>
  </si>
  <si>
    <t>DOPPLER COLORIDO DE AORTA E ILIACAS</t>
  </si>
  <si>
    <t>DOPPLER COLORIDO DE ORGAO OU ESTRUTURA ISOLADA (TIREÓIDE,MAMA, BOLSA ESCROTAL)</t>
  </si>
  <si>
    <t>DOPPLER COLORIDO DE VASOS CERVICAIS ARTERIAIS BILATERAL- CAROTIDAS E VERTEBRAIS</t>
  </si>
  <si>
    <t>DOPPLER COLORIDO DE VASOS CERVICAIS VENOSOS BILATERAL (SUBCLAVIAS E JUGULARES)</t>
  </si>
  <si>
    <t>DOPPLER COLORIDO DE VEIA CAVA SUPERIOR OU INFERIOR</t>
  </si>
  <si>
    <t>DOPPLER COLORIDO TRANSFONTANELA</t>
  </si>
  <si>
    <t>DOPPLER COLORIDO VENOSO DE MEMBRO INFERIOR - UNILATERAL</t>
  </si>
  <si>
    <t>DOPPLER COLORIDO VENOSO DE MEMBRO SUPERIOR - UNILATERAL</t>
  </si>
  <si>
    <t>DOPPLER COLORIDO-ARTERIA VISCERAL-MESENTERICA SUPERIOR/INFERIOR/TRONCO    CELIACO)</t>
  </si>
  <si>
    <t>DOPPLER COLORIDO ÓRGÃO E ESTRUTURA ISOLADA + TRANSVAGINAL</t>
  </si>
  <si>
    <t>US - OBSTETRICA MORFOLOGICA COM DOPPLER  * Entre 21 e 24 semanas</t>
  </si>
  <si>
    <t xml:space="preserve">TOMOGRAFIA COMPUTADORIZADA </t>
  </si>
  <si>
    <t>SEDAÇÃO TC</t>
  </si>
  <si>
    <t>TC - ABDOME SUPERIOR</t>
  </si>
  <si>
    <t>TC - ABDOME INFERIOR</t>
  </si>
  <si>
    <t>TC - ABDOME TOTAL (ABDOME SUPERIOR, PELVE E RETROPERITONIO)</t>
  </si>
  <si>
    <t>TC - ARTICULACAO (JOELHO, OMBRO, PUNHO, COTOVELO, TORNOZELO)</t>
  </si>
  <si>
    <t>TC - ARTICULACOES TEMPOROMANDIBULARES</t>
  </si>
  <si>
    <t>TC - COLUNA CERVICAL OU DORSAL OU LOMBO-SACRA (ATE 3 SEGMENTOS)</t>
  </si>
  <si>
    <t>TC - CRANIO OU SELA TURCICA OU ORBITAS</t>
  </si>
  <si>
    <t>TC - FACE OU SEIOS DA FACE</t>
  </si>
  <si>
    <t>TC - MASTOIDES OU ORELHAS</t>
  </si>
  <si>
    <t>TC - PELVE OU BACIA</t>
  </si>
  <si>
    <t>TC - SEGMENTO APENDICULAR (BRACO/ANTEBRACO/MAO/COXA/PERNA/PE)-Uni</t>
  </si>
  <si>
    <t>TC - TORAX</t>
  </si>
  <si>
    <t>TC - VIAS URINARIAS (UROTOMOGRAFIA) COM CONTRASTE</t>
  </si>
  <si>
    <t>TC - VIAS URINARIAS SEM CONTRASTE PARA CÁLCULO</t>
  </si>
  <si>
    <t>ANGIOTOMOGRAFIA ARTERIAL DE ABDOME SUPERIOR</t>
  </si>
  <si>
    <t>ANGIOTOMOGRAFIA ARTERIAL DE CRANIO</t>
  </si>
  <si>
    <t>ANGIOTOMOGRAFIA ARTERIAL DE MEMBRO INFERIOR</t>
  </si>
  <si>
    <t>ANGIOTOMOGRAFIA ARTERIAL DE MEMBRO SUPERIOR</t>
  </si>
  <si>
    <t>ANGIOTOMOGRAFIA ARTERIAL DE PELVE</t>
  </si>
  <si>
    <t>ANGIOTOMOGRAFIA ARTERIAL DE PESCOCO</t>
  </si>
  <si>
    <t>ANGIOTOMOGRAFIA ARTERIAL DE TORAX</t>
  </si>
  <si>
    <t>ANGIOTOMOGRAFIA ARTERIAL PULMONAR</t>
  </si>
  <si>
    <t>ANGIOTOMOGRAFIA DE AORTA ABDOMINAL</t>
  </si>
  <si>
    <t>ANGIOTOMOGRAFIA DE AORTA TORACICA</t>
  </si>
  <si>
    <t>ANGIOTOMOGRAFIA VENOSA DE ABDOME SUPERIOR</t>
  </si>
  <si>
    <t>ANGIOTOMOGRAFIA VENOSA DE CRANIO</t>
  </si>
  <si>
    <t>ANGIOTOMOGRAFIA VENOSA DE MEMBRO INFERIOR</t>
  </si>
  <si>
    <t>ANGIOTOMOGRAFIA VENOSA DE MEMBRO SUPERIOR</t>
  </si>
  <si>
    <t>ANGIOTOMOGRAFIA VENOSA DE PELVE</t>
  </si>
  <si>
    <t>ANGIOTOMOGRAFIA VENOSA DE PESCOCO</t>
  </si>
  <si>
    <t>ANGIOTOMOGRAFIA VENOSA DE TORAX</t>
  </si>
  <si>
    <t>ANGIOTOMOGRAFIA VENOSA PULMONAR</t>
  </si>
  <si>
    <t>COLONOSCOPIA VIRTUAL</t>
  </si>
  <si>
    <t>RESSONÂNCIA MAGNÉTICA</t>
  </si>
  <si>
    <t>SEDAÇÃO RM</t>
  </si>
  <si>
    <t>RM - CRANIO (ENCEFALO)</t>
  </si>
  <si>
    <t>RM - CRANIO + ESPECTROSCOPIA</t>
  </si>
  <si>
    <t>RM - CRANIO + TRACTOGRAFIA</t>
  </si>
  <si>
    <t>RM - CRANIO + PERFUSAO</t>
  </si>
  <si>
    <t>RM - CRANIO + ESPECTROSCOPIA + PERFUSAO</t>
  </si>
  <si>
    <t>RM - CRANIO + FLUXO LIQUORICO</t>
  </si>
  <si>
    <t>RM - ABDOME SUPERIOR (FIGADO, PANCREAS, BACO, RINS, SUPRA- RENAIS, RETROPERITONIO)</t>
  </si>
  <si>
    <t>RM - ABDOME SUPERIOR (COM PRIMOVIST)</t>
  </si>
  <si>
    <t>RM - ABDOME SUPERIOR (COM COLANGIO)</t>
  </si>
  <si>
    <t>RM - ABDOME SUPERIOR (COM COLANGIO) + PRIMOVIST</t>
  </si>
  <si>
    <t>RM - ABDOME TOTAL (Enteroressonância)</t>
  </si>
  <si>
    <t>RM - ARTICULACAO TEMPOROMANDIBULAR (BILATERAL)</t>
  </si>
  <si>
    <t>RM - ARTICULAR (POR ARTICULACAO) *punho, cotovelo, ombro, quadril, calcaneo, joelho</t>
  </si>
  <si>
    <t>RM - AVALIACAO DE FERRO (CORACAO OU FIGADO)</t>
  </si>
  <si>
    <t>RM - BACIA (ARTICULACOES SACROILIACAS)</t>
  </si>
  <si>
    <t>RM - BASE DO CRANIO</t>
  </si>
  <si>
    <t>RM - COLUNA CERVICAL OU DORSAL OU LOMBAR</t>
  </si>
  <si>
    <t>RM - CORACAO - MORFOLOGICO E FUNCIONAL + PERFUSAO + VIABILIDADE + MIOCARDICA</t>
  </si>
  <si>
    <t>RM - COXA (UNILATERAL)</t>
  </si>
  <si>
    <t>RM - DIFUSAO POR RM</t>
  </si>
  <si>
    <t>RM - FACE (INCLUI SEIOS DA FACE)</t>
  </si>
  <si>
    <t>RM - MAMA (BILATERAL)</t>
  </si>
  <si>
    <t>RM - MAO (NAO INCLUI PUNHO)</t>
  </si>
  <si>
    <t>RM - MULTIPARAMETRICA DA PROSTATA</t>
  </si>
  <si>
    <t>RM - ORBITA BILATERAL</t>
  </si>
  <si>
    <t>RM - OSSOS TEMPORAIS BILATERAL</t>
  </si>
  <si>
    <t>RM - PÉ (ANTEPÉ) NÃO INCLUI TORNOZELO</t>
  </si>
  <si>
    <t>RM - PELVE (NAO INCLUI ARTICULACOES COXOFEMORAIS)</t>
  </si>
  <si>
    <t>RM - PERNA (UNILATERAL)</t>
  </si>
  <si>
    <t>RM - PESCOCO (NASOFARINGE, OROFARINGE, LARINGE, TRAQUEIA, TIREOIDE, PARATIREOIDE)</t>
  </si>
  <si>
    <t>RM - PLEXO BRAQUIAL / LOMBOSSACRAL (NAO INCLUI COLUNA CERVICAL_x000D_
OU LOMBAR)</t>
  </si>
  <si>
    <t>RM - SELA TURCICA (HIPOFISE)</t>
  </si>
  <si>
    <t>RM - TORAX (MEDIASTINO, PULMAO, PAREDE TORACICA)</t>
  </si>
  <si>
    <t>RM FLUXO LIQUORICO</t>
  </si>
  <si>
    <t>RM - TRACTOGRAFIA</t>
  </si>
  <si>
    <t>RM - FETAL</t>
  </si>
  <si>
    <t>PERFUSAO CEREBRAL POR RM</t>
  </si>
  <si>
    <t>HIDRO-RM (COLANGIO-RM OU URO-RM OU MIELO-RM OU SIALO-RM OU_x000D_
CISTOGRAFIA POR RM)</t>
  </si>
  <si>
    <t>URORESSONANCIA</t>
  </si>
  <si>
    <t>ESPECTROSCOPIA POR RM</t>
  </si>
  <si>
    <t>ANGIO-RM ARTERIAL DE ABDOME SUPERIOR</t>
  </si>
  <si>
    <t>ANGIO-RM ARTERIAL DE CRANIO</t>
  </si>
  <si>
    <t>ANGIO-RM ARTERIAL DE MEMBRO INFERIOR (UNILATERAL)</t>
  </si>
  <si>
    <t>ANGIO-RM ARTERIAL DE MEMBRO SUPERIOR (UNILATERAL)</t>
  </si>
  <si>
    <t>ANGIO-RM ARTERIAL DE PELVE</t>
  </si>
  <si>
    <t>ANGIO-RM ARTERIAL DE PESCOCO</t>
  </si>
  <si>
    <t>ANGIO-RM DE AORTA ABDOMINAL</t>
  </si>
  <si>
    <t>ANGIO-RM DE AORTA TORACICA</t>
  </si>
  <si>
    <t>ANGIO-RM VENOSA DE ABDOME SUPERIOR</t>
  </si>
  <si>
    <t>ANGIO-RM VENOSA DE CRANIO</t>
  </si>
  <si>
    <t>ANGIO-RM VENOSA DE MEMBRO INFERIOR (UNILATERAL)</t>
  </si>
  <si>
    <t>ANGIO-RM VENOSA DE MEMBRO SUPERIOR (UNILATERAL)</t>
  </si>
  <si>
    <t>ANGIO-RM VENOSA DE PELVE</t>
  </si>
  <si>
    <t>ANGIO-RM VENOSA DE PESCOCO</t>
  </si>
  <si>
    <t>ANGIO-RM VENOSA PULMONAR</t>
  </si>
  <si>
    <t xml:space="preserve">ARTRO - RM OMBRO </t>
  </si>
  <si>
    <t xml:space="preserve">ARTRO - RM QUADRIL </t>
  </si>
  <si>
    <t xml:space="preserve">ARTRO - RM JOELHO </t>
  </si>
  <si>
    <t>RM - MEMBRO SUPERIOR UNILATERAL (NAO INCLUI MÃO E ARTICULACOES)</t>
  </si>
  <si>
    <t>MAIOR VOLUME DE  PRESCRIÇÃO</t>
  </si>
  <si>
    <t>TC TORAX</t>
  </si>
  <si>
    <t>US ABDOMEN TOTAL</t>
  </si>
  <si>
    <t>US PROSTATA</t>
  </si>
  <si>
    <t xml:space="preserve"> RX - COLUNA LOMBO SACRA 3 INCIDENCIAS</t>
  </si>
  <si>
    <t>TC CRÂNIO</t>
  </si>
  <si>
    <t>TC - PESCOÇO (PARTES MOLES, LARINGE, TIREOIDE, FARINGE E GLANDULAS SALIVARES)</t>
  </si>
  <si>
    <t>RX BACIA</t>
  </si>
  <si>
    <t>US - OBSTETRICA MORFOLOGICA DO 1º TRIMESTRE COM DOPPLER                                                                                            ( SEM MEDIDA DO COLO)</t>
  </si>
  <si>
    <t>US - OBSTETRICA MORFOLOGICA DO 2º TRIMESTRE COM DOPPLER ( SEM MEDIDA DO COLO)</t>
  </si>
  <si>
    <t>(DEXA) DENSITOMETRIA OSSEA-CORPO INTEIRO                                                                                    (AVALIACAO DE MASSAOSSEA/COMPOSICAO CORPORAL)</t>
  </si>
  <si>
    <t>(DEXA) DENSITOMETRIA OSSEA-CORPO INTEIRO (AVALIAÇÃO DE MASSA OSSEA/COMPOSICAO CORPORAL)</t>
  </si>
  <si>
    <t>US - ABDOME INFERIOR MASCULINO (BEXIGA, PROSTATA E VESICULAS SEMINAIS)</t>
  </si>
  <si>
    <t>TC - ANGIOTOMOGRAFIA CORONARIANA (Com diretriz de utilização definida p/ANS)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</si>
</sst>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rgb="FFFFFFFF"/>
      <name val="Arial"/>
      <family val="2"/>
    </font>
    <font>
      <b/>
      <sz val="16"/>
      <color theme="0"/>
      <name val="Arial"/>
      <family val="2"/>
    </font>
    <font>
      <b/>
      <sz val="20"/>
      <color theme="0"/>
      <name val="Arial"/>
      <family val="2"/>
    </font>
    <font>
      <b/>
      <sz val="22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Arial"/>
      <family val="2"/>
    </font>
    <font>
      <b/>
      <sz val="28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5151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0" fillId="0" borderId="0" xfId="0" applyAlignment="1">
      <alignment horizontal="center"/>
    </xf>
    <xf numFmtId="44" fontId="9" fillId="5" borderId="12" xfId="0" applyNumberFormat="1" applyFont="1" applyFill="1" applyBorder="1" applyAlignment="1">
      <alignment horizontal="center" vertical="center"/>
    </xf>
    <xf numFmtId="44" fontId="9" fillId="5" borderId="12" xfId="0" applyNumberFormat="1" applyFont="1" applyFill="1" applyBorder="1" applyAlignment="1">
      <alignment horizontal="center" vertical="center" wrapText="1"/>
    </xf>
    <xf numFmtId="44" fontId="9" fillId="5" borderId="16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5" borderId="17" xfId="0" applyFont="1" applyFill="1" applyBorder="1" applyAlignment="1">
      <alignment horizontal="left" vertical="center" wrapText="1"/>
    </xf>
    <xf numFmtId="0" fontId="6" fillId="5" borderId="21" xfId="0" applyFont="1" applyFill="1" applyBorder="1" applyAlignment="1">
      <alignment horizontal="center" vertical="center" wrapText="1"/>
    </xf>
    <xf numFmtId="44" fontId="9" fillId="5" borderId="22" xfId="0" applyNumberFormat="1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44" fontId="9" fillId="5" borderId="24" xfId="0" applyNumberFormat="1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44" fontId="9" fillId="5" borderId="27" xfId="0" applyNumberFormat="1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/>
    </xf>
    <xf numFmtId="0" fontId="6" fillId="5" borderId="31" xfId="0" applyFont="1" applyFill="1" applyBorder="1" applyAlignment="1">
      <alignment horizontal="center" vertical="center" wrapText="1"/>
    </xf>
    <xf numFmtId="44" fontId="9" fillId="5" borderId="32" xfId="0" applyNumberFormat="1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left" vertical="center"/>
    </xf>
    <xf numFmtId="0" fontId="7" fillId="6" borderId="13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arceiros\INSTITUTO%20DE%20RADIOLOGIA\RELATORIO%20CUSTOS%20DOS%20EXAMES%20DE%20IMAGEM%20CADRI%20X%20IRPP.xlsx" TargetMode="External"/><Relationship Id="rId1" Type="http://schemas.openxmlformats.org/officeDocument/2006/relationships/externalLinkPath" Target="Parceiros/INSTITUTO%20DE%20RADIOLOGIA/RELATORIO%20CUSTOS%20DOS%20EXAMES%20DE%20IMAGEM%20CADRI%20X%20IRP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RI X INSTITUTO"/>
      <sheetName val="VALORES VENDA"/>
      <sheetName val="IRPP PLANILHA BASE"/>
      <sheetName val="MAIS USADOS"/>
      <sheetName val="VALORES IGUAIS OU MAIORES"/>
      <sheetName val="Planilha1"/>
    </sheetNames>
    <sheetDataSet>
      <sheetData sheetId="0">
        <row r="4">
          <cell r="D4">
            <v>60</v>
          </cell>
        </row>
        <row r="5">
          <cell r="D5">
            <v>60</v>
          </cell>
        </row>
        <row r="6">
          <cell r="D6">
            <v>60</v>
          </cell>
        </row>
        <row r="7">
          <cell r="D7">
            <v>60</v>
          </cell>
        </row>
        <row r="8">
          <cell r="D8">
            <v>70</v>
          </cell>
        </row>
        <row r="9">
          <cell r="D9">
            <v>70</v>
          </cell>
        </row>
        <row r="10">
          <cell r="D10">
            <v>60</v>
          </cell>
        </row>
        <row r="11">
          <cell r="D11">
            <v>60</v>
          </cell>
        </row>
        <row r="12">
          <cell r="D12">
            <v>60</v>
          </cell>
        </row>
        <row r="13">
          <cell r="D13">
            <v>80</v>
          </cell>
        </row>
        <row r="14">
          <cell r="D14">
            <v>90</v>
          </cell>
        </row>
        <row r="15">
          <cell r="D15">
            <v>60</v>
          </cell>
        </row>
        <row r="16">
          <cell r="D16">
            <v>50</v>
          </cell>
        </row>
        <row r="17">
          <cell r="D17">
            <v>50</v>
          </cell>
        </row>
        <row r="18">
          <cell r="D18">
            <v>85</v>
          </cell>
        </row>
        <row r="19">
          <cell r="D19">
            <v>95</v>
          </cell>
        </row>
        <row r="20">
          <cell r="D20">
            <v>110</v>
          </cell>
        </row>
        <row r="21">
          <cell r="D21">
            <v>85</v>
          </cell>
        </row>
        <row r="22">
          <cell r="D22">
            <v>90</v>
          </cell>
        </row>
        <row r="23">
          <cell r="D23">
            <v>130</v>
          </cell>
        </row>
        <row r="24">
          <cell r="D24">
            <v>90</v>
          </cell>
        </row>
        <row r="25">
          <cell r="D25">
            <v>110</v>
          </cell>
        </row>
        <row r="26">
          <cell r="D26">
            <v>160</v>
          </cell>
        </row>
        <row r="27">
          <cell r="D27">
            <v>75</v>
          </cell>
        </row>
        <row r="28">
          <cell r="D28">
            <v>60</v>
          </cell>
        </row>
        <row r="29">
          <cell r="D29">
            <v>70</v>
          </cell>
        </row>
        <row r="30">
          <cell r="D30">
            <v>95</v>
          </cell>
        </row>
        <row r="31">
          <cell r="D31">
            <v>80</v>
          </cell>
        </row>
        <row r="32">
          <cell r="D32">
            <v>70</v>
          </cell>
        </row>
        <row r="33">
          <cell r="D33">
            <v>70</v>
          </cell>
        </row>
        <row r="34">
          <cell r="D34">
            <v>80</v>
          </cell>
        </row>
        <row r="35">
          <cell r="D35">
            <v>70</v>
          </cell>
        </row>
        <row r="36">
          <cell r="D36">
            <v>70</v>
          </cell>
        </row>
        <row r="37">
          <cell r="D37">
            <v>70</v>
          </cell>
        </row>
        <row r="38">
          <cell r="D38">
            <v>60</v>
          </cell>
        </row>
        <row r="39">
          <cell r="D39">
            <v>60</v>
          </cell>
        </row>
        <row r="40">
          <cell r="D40">
            <v>70</v>
          </cell>
        </row>
        <row r="41">
          <cell r="D41">
            <v>70</v>
          </cell>
        </row>
        <row r="42">
          <cell r="D42">
            <v>70</v>
          </cell>
        </row>
        <row r="43">
          <cell r="D43">
            <v>60</v>
          </cell>
        </row>
        <row r="44">
          <cell r="D44">
            <v>60</v>
          </cell>
        </row>
        <row r="45">
          <cell r="D45">
            <v>90</v>
          </cell>
        </row>
        <row r="46">
          <cell r="D46">
            <v>60</v>
          </cell>
        </row>
        <row r="47">
          <cell r="D47">
            <v>70</v>
          </cell>
        </row>
        <row r="48">
          <cell r="D48">
            <v>90</v>
          </cell>
        </row>
        <row r="49">
          <cell r="D49">
            <v>95</v>
          </cell>
        </row>
        <row r="50">
          <cell r="D50">
            <v>180</v>
          </cell>
        </row>
        <row r="51">
          <cell r="D51">
            <v>70</v>
          </cell>
        </row>
        <row r="52">
          <cell r="D52">
            <v>60</v>
          </cell>
        </row>
        <row r="53">
          <cell r="D53">
            <v>70</v>
          </cell>
        </row>
        <row r="54">
          <cell r="D54">
            <v>90</v>
          </cell>
        </row>
        <row r="55">
          <cell r="D55">
            <v>100</v>
          </cell>
        </row>
        <row r="56">
          <cell r="D56">
            <v>130</v>
          </cell>
        </row>
        <row r="57">
          <cell r="D57">
            <v>80</v>
          </cell>
        </row>
        <row r="58">
          <cell r="D58">
            <v>140</v>
          </cell>
        </row>
        <row r="59">
          <cell r="D59">
            <v>660</v>
          </cell>
        </row>
        <row r="60">
          <cell r="D60">
            <v>1320</v>
          </cell>
        </row>
        <row r="61">
          <cell r="D61">
            <v>1980</v>
          </cell>
        </row>
        <row r="62">
          <cell r="D62">
            <v>2640</v>
          </cell>
        </row>
        <row r="63">
          <cell r="D63">
            <v>1500</v>
          </cell>
        </row>
        <row r="64">
          <cell r="D64">
            <v>1800</v>
          </cell>
        </row>
        <row r="65">
          <cell r="D65">
            <v>700</v>
          </cell>
        </row>
        <row r="66">
          <cell r="D66">
            <v>1400</v>
          </cell>
        </row>
        <row r="67">
          <cell r="D67">
            <v>2050</v>
          </cell>
        </row>
        <row r="68">
          <cell r="D68">
            <v>2700</v>
          </cell>
        </row>
        <row r="69">
          <cell r="D69">
            <v>725</v>
          </cell>
        </row>
        <row r="70">
          <cell r="D70">
            <v>1450</v>
          </cell>
        </row>
        <row r="71">
          <cell r="D71">
            <v>2175</v>
          </cell>
        </row>
        <row r="72">
          <cell r="D72">
            <v>3000</v>
          </cell>
        </row>
        <row r="73">
          <cell r="D73">
            <v>190</v>
          </cell>
        </row>
        <row r="74">
          <cell r="D74">
            <v>190</v>
          </cell>
        </row>
        <row r="75">
          <cell r="D75">
            <v>230</v>
          </cell>
        </row>
        <row r="80">
          <cell r="D80">
            <v>90</v>
          </cell>
        </row>
        <row r="81">
          <cell r="D81">
            <v>90</v>
          </cell>
        </row>
        <row r="82">
          <cell r="D82">
            <v>98</v>
          </cell>
        </row>
        <row r="83">
          <cell r="D83">
            <v>80</v>
          </cell>
        </row>
        <row r="84">
          <cell r="D84">
            <v>110</v>
          </cell>
        </row>
        <row r="85">
          <cell r="D85">
            <v>150</v>
          </cell>
        </row>
        <row r="86">
          <cell r="D86">
            <v>80</v>
          </cell>
        </row>
        <row r="87">
          <cell r="D87">
            <v>80</v>
          </cell>
        </row>
        <row r="88">
          <cell r="D88">
            <v>130</v>
          </cell>
        </row>
        <row r="89">
          <cell r="D89">
            <v>90</v>
          </cell>
        </row>
        <row r="90">
          <cell r="D90">
            <v>195</v>
          </cell>
        </row>
        <row r="91">
          <cell r="D91">
            <v>200</v>
          </cell>
        </row>
        <row r="92">
          <cell r="D92">
            <v>190</v>
          </cell>
        </row>
        <row r="93">
          <cell r="D93">
            <v>180</v>
          </cell>
        </row>
        <row r="94">
          <cell r="D94">
            <v>380</v>
          </cell>
        </row>
        <row r="95">
          <cell r="D95">
            <v>180</v>
          </cell>
        </row>
        <row r="96">
          <cell r="D96">
            <v>180</v>
          </cell>
        </row>
        <row r="97">
          <cell r="D97">
            <v>90</v>
          </cell>
        </row>
        <row r="98">
          <cell r="D98">
            <v>90</v>
          </cell>
        </row>
        <row r="99">
          <cell r="D99">
            <v>200</v>
          </cell>
        </row>
        <row r="100">
          <cell r="D100">
            <v>150</v>
          </cell>
        </row>
        <row r="101">
          <cell r="D101">
            <v>90</v>
          </cell>
        </row>
        <row r="102">
          <cell r="D102">
            <v>275</v>
          </cell>
        </row>
        <row r="103">
          <cell r="D103">
            <v>550</v>
          </cell>
        </row>
        <row r="104">
          <cell r="D104">
            <v>450</v>
          </cell>
        </row>
        <row r="105">
          <cell r="D105">
            <v>540</v>
          </cell>
        </row>
        <row r="107">
          <cell r="D107">
            <v>490</v>
          </cell>
        </row>
        <row r="108">
          <cell r="D108">
            <v>490</v>
          </cell>
        </row>
        <row r="109">
          <cell r="D109">
            <v>420</v>
          </cell>
        </row>
        <row r="110">
          <cell r="D110">
            <v>420</v>
          </cell>
        </row>
        <row r="112">
          <cell r="D112">
            <v>310</v>
          </cell>
        </row>
        <row r="116">
          <cell r="D116">
            <v>200</v>
          </cell>
        </row>
        <row r="118">
          <cell r="D118">
            <v>330</v>
          </cell>
        </row>
        <row r="119">
          <cell r="D119">
            <v>320</v>
          </cell>
        </row>
        <row r="120">
          <cell r="D120">
            <v>300</v>
          </cell>
        </row>
        <row r="121">
          <cell r="D121">
            <v>340</v>
          </cell>
        </row>
        <row r="122">
          <cell r="D122">
            <v>340</v>
          </cell>
        </row>
        <row r="123">
          <cell r="D123">
            <v>330</v>
          </cell>
        </row>
        <row r="124">
          <cell r="D124">
            <v>280</v>
          </cell>
        </row>
        <row r="125">
          <cell r="D125">
            <v>420</v>
          </cell>
        </row>
        <row r="127">
          <cell r="D127">
            <v>580</v>
          </cell>
        </row>
        <row r="128">
          <cell r="D128">
            <v>500</v>
          </cell>
        </row>
        <row r="129">
          <cell r="D129">
            <v>900</v>
          </cell>
        </row>
        <row r="130">
          <cell r="D130">
            <v>1400</v>
          </cell>
        </row>
        <row r="131">
          <cell r="D131">
            <v>360</v>
          </cell>
        </row>
        <row r="132">
          <cell r="D132">
            <v>360</v>
          </cell>
        </row>
        <row r="133">
          <cell r="D133">
            <v>350</v>
          </cell>
        </row>
        <row r="134">
          <cell r="D134">
            <v>460</v>
          </cell>
        </row>
        <row r="135">
          <cell r="D135">
            <v>460</v>
          </cell>
        </row>
        <row r="136">
          <cell r="D136">
            <v>460</v>
          </cell>
        </row>
        <row r="137">
          <cell r="D137">
            <v>510</v>
          </cell>
        </row>
        <row r="138">
          <cell r="D138">
            <v>530</v>
          </cell>
        </row>
        <row r="139">
          <cell r="D139">
            <v>450</v>
          </cell>
        </row>
        <row r="140">
          <cell r="D140">
            <v>570</v>
          </cell>
        </row>
        <row r="141">
          <cell r="D141">
            <v>980</v>
          </cell>
        </row>
        <row r="142">
          <cell r="D142">
            <v>850</v>
          </cell>
        </row>
        <row r="143">
          <cell r="D143">
            <v>920</v>
          </cell>
        </row>
        <row r="144">
          <cell r="D144">
            <v>920</v>
          </cell>
        </row>
        <row r="145">
          <cell r="D145">
            <v>920</v>
          </cell>
        </row>
        <row r="146">
          <cell r="D146">
            <v>920</v>
          </cell>
        </row>
        <row r="147">
          <cell r="D147">
            <v>920</v>
          </cell>
        </row>
        <row r="148">
          <cell r="D148">
            <v>920</v>
          </cell>
        </row>
        <row r="149">
          <cell r="D149">
            <v>920</v>
          </cell>
        </row>
        <row r="150">
          <cell r="D150">
            <v>920</v>
          </cell>
        </row>
        <row r="151">
          <cell r="D151">
            <v>920</v>
          </cell>
        </row>
        <row r="152">
          <cell r="D152">
            <v>920</v>
          </cell>
        </row>
        <row r="153">
          <cell r="D153">
            <v>920</v>
          </cell>
        </row>
        <row r="154">
          <cell r="D154">
            <v>920</v>
          </cell>
        </row>
        <row r="155">
          <cell r="D155">
            <v>920</v>
          </cell>
        </row>
        <row r="156">
          <cell r="D156">
            <v>920</v>
          </cell>
        </row>
        <row r="157">
          <cell r="D157">
            <v>920</v>
          </cell>
        </row>
        <row r="158">
          <cell r="D158">
            <v>920</v>
          </cell>
        </row>
        <row r="159">
          <cell r="D159">
            <v>920</v>
          </cell>
        </row>
        <row r="160">
          <cell r="D160">
            <v>920</v>
          </cell>
        </row>
        <row r="161">
          <cell r="D161">
            <v>1000</v>
          </cell>
        </row>
        <row r="163">
          <cell r="D163">
            <v>800</v>
          </cell>
        </row>
        <row r="164">
          <cell r="D164">
            <v>1100</v>
          </cell>
        </row>
        <row r="169">
          <cell r="D169">
            <v>800</v>
          </cell>
        </row>
        <row r="174">
          <cell r="D174">
            <v>800</v>
          </cell>
        </row>
        <row r="175">
          <cell r="D175">
            <v>800</v>
          </cell>
        </row>
        <row r="177">
          <cell r="D177">
            <v>800</v>
          </cell>
        </row>
        <row r="178">
          <cell r="D178">
            <v>800</v>
          </cell>
        </row>
        <row r="179">
          <cell r="D179">
            <v>810</v>
          </cell>
        </row>
        <row r="180">
          <cell r="D180">
            <v>2200</v>
          </cell>
        </row>
        <row r="181">
          <cell r="D181">
            <v>800</v>
          </cell>
        </row>
        <row r="183">
          <cell r="D183">
            <v>800</v>
          </cell>
        </row>
        <row r="184">
          <cell r="D184">
            <v>1500</v>
          </cell>
        </row>
        <row r="185">
          <cell r="D185">
            <v>800</v>
          </cell>
        </row>
        <row r="186">
          <cell r="D186">
            <v>800</v>
          </cell>
        </row>
        <row r="188">
          <cell r="D188">
            <v>800</v>
          </cell>
        </row>
        <row r="189">
          <cell r="D189">
            <v>800</v>
          </cell>
        </row>
        <row r="190">
          <cell r="D190">
            <v>800</v>
          </cell>
        </row>
        <row r="191">
          <cell r="D191">
            <v>800</v>
          </cell>
        </row>
        <row r="192">
          <cell r="D192">
            <v>800</v>
          </cell>
        </row>
        <row r="193">
          <cell r="D193">
            <v>800</v>
          </cell>
        </row>
        <row r="194">
          <cell r="D194">
            <v>800</v>
          </cell>
        </row>
        <row r="195">
          <cell r="D195">
            <v>800</v>
          </cell>
        </row>
        <row r="196">
          <cell r="D196">
            <v>800</v>
          </cell>
        </row>
        <row r="197">
          <cell r="D197">
            <v>550</v>
          </cell>
        </row>
        <row r="199">
          <cell r="D199">
            <v>1500</v>
          </cell>
        </row>
        <row r="200">
          <cell r="D200">
            <v>550</v>
          </cell>
        </row>
        <row r="204">
          <cell r="D204">
            <v>880</v>
          </cell>
        </row>
        <row r="205">
          <cell r="D205">
            <v>880</v>
          </cell>
        </row>
        <row r="206">
          <cell r="D206">
            <v>930</v>
          </cell>
        </row>
        <row r="207">
          <cell r="D207">
            <v>930</v>
          </cell>
        </row>
        <row r="208">
          <cell r="D208">
            <v>930</v>
          </cell>
        </row>
        <row r="209">
          <cell r="D209">
            <v>880</v>
          </cell>
        </row>
        <row r="210">
          <cell r="D210">
            <v>880</v>
          </cell>
        </row>
        <row r="211">
          <cell r="D211">
            <v>880</v>
          </cell>
        </row>
        <row r="212">
          <cell r="D212">
            <v>880</v>
          </cell>
        </row>
        <row r="213">
          <cell r="D213">
            <v>880</v>
          </cell>
        </row>
        <row r="214">
          <cell r="D214">
            <v>880</v>
          </cell>
        </row>
        <row r="215">
          <cell r="D215">
            <v>880</v>
          </cell>
        </row>
        <row r="216">
          <cell r="D216">
            <v>880</v>
          </cell>
        </row>
        <row r="217">
          <cell r="D217">
            <v>880</v>
          </cell>
        </row>
        <row r="218">
          <cell r="D218">
            <v>880</v>
          </cell>
        </row>
        <row r="219">
          <cell r="D219">
            <v>930</v>
          </cell>
        </row>
        <row r="220">
          <cell r="D220">
            <v>930</v>
          </cell>
        </row>
        <row r="221">
          <cell r="D221">
            <v>930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F8AF-C675-4C15-96F4-8927E0E05E51}">
  <dimension ref="A1:C433"/>
  <sheetViews>
    <sheetView tabSelected="1" workbookViewId="0">
      <selection activeCell="A58" sqref="A58:XFD59"/>
    </sheetView>
  </sheetViews>
  <sheetFormatPr defaultRowHeight="15" x14ac:dyDescent="0.25"/>
  <cols>
    <col min="1" max="1" width="9.85546875" style="16" bestFit="1" customWidth="1"/>
    <col min="2" max="2" width="131.85546875" customWidth="1"/>
    <col min="3" max="3" width="27.28515625" style="23" bestFit="1" customWidth="1"/>
  </cols>
  <sheetData>
    <row r="1" spans="1:3" s="16" customFormat="1" ht="30" x14ac:dyDescent="0.25">
      <c r="A1" s="46" t="s">
        <v>0</v>
      </c>
      <c r="B1" s="47"/>
      <c r="C1" s="48"/>
    </row>
    <row r="2" spans="1:3" s="16" customFormat="1" ht="36" thickBot="1" x14ac:dyDescent="0.3">
      <c r="A2" s="49" t="s">
        <v>1</v>
      </c>
      <c r="B2" s="50"/>
      <c r="C2" s="51"/>
    </row>
    <row r="3" spans="1:3" s="16" customFormat="1" ht="27" thickBot="1" x14ac:dyDescent="0.3">
      <c r="A3" s="1" t="s">
        <v>2</v>
      </c>
      <c r="B3" s="2" t="s">
        <v>3</v>
      </c>
      <c r="C3" s="2" t="s">
        <v>4</v>
      </c>
    </row>
    <row r="4" spans="1:3" s="16" customFormat="1" ht="29.25" customHeight="1" thickBot="1" x14ac:dyDescent="0.3">
      <c r="A4" s="37" t="s">
        <v>5</v>
      </c>
      <c r="B4" s="38"/>
      <c r="C4" s="39"/>
    </row>
    <row r="5" spans="1:3" s="16" customFormat="1" ht="21" customHeight="1" x14ac:dyDescent="0.25">
      <c r="A5" s="9">
        <v>1</v>
      </c>
      <c r="B5" s="10" t="s">
        <v>6</v>
      </c>
      <c r="C5" s="20">
        <f>'[1]CADRI X INSTITUTO'!D4*150%</f>
        <v>90</v>
      </c>
    </row>
    <row r="6" spans="1:3" s="16" customFormat="1" ht="18" customHeight="1" x14ac:dyDescent="0.25">
      <c r="A6" s="9">
        <v>2</v>
      </c>
      <c r="B6" s="6" t="s">
        <v>7</v>
      </c>
      <c r="C6" s="20">
        <f>'[1]CADRI X INSTITUTO'!D5*150%</f>
        <v>90</v>
      </c>
    </row>
    <row r="7" spans="1:3" s="16" customFormat="1" ht="18" customHeight="1" x14ac:dyDescent="0.25">
      <c r="A7" s="9">
        <v>3</v>
      </c>
      <c r="B7" s="6" t="s">
        <v>8</v>
      </c>
      <c r="C7" s="20">
        <f>'[1]CADRI X INSTITUTO'!D6*150%</f>
        <v>90</v>
      </c>
    </row>
    <row r="8" spans="1:3" s="16" customFormat="1" ht="18" customHeight="1" x14ac:dyDescent="0.25">
      <c r="A8" s="9">
        <v>4</v>
      </c>
      <c r="B8" s="6" t="s">
        <v>9</v>
      </c>
      <c r="C8" s="20">
        <f>'[1]CADRI X INSTITUTO'!D7*150%</f>
        <v>90</v>
      </c>
    </row>
    <row r="9" spans="1:3" s="16" customFormat="1" ht="18" customHeight="1" x14ac:dyDescent="0.25">
      <c r="A9" s="9">
        <v>5</v>
      </c>
      <c r="B9" s="6" t="s">
        <v>10</v>
      </c>
      <c r="C9" s="20">
        <f>'[1]CADRI X INSTITUTO'!D8*150%</f>
        <v>105</v>
      </c>
    </row>
    <row r="10" spans="1:3" s="16" customFormat="1" ht="18" customHeight="1" x14ac:dyDescent="0.25">
      <c r="A10" s="9">
        <v>6</v>
      </c>
      <c r="B10" s="6" t="s">
        <v>11</v>
      </c>
      <c r="C10" s="20">
        <f>'[1]CADRI X INSTITUTO'!D9*150%</f>
        <v>105</v>
      </c>
    </row>
    <row r="11" spans="1:3" s="16" customFormat="1" ht="18" customHeight="1" x14ac:dyDescent="0.25">
      <c r="A11" s="9">
        <v>7</v>
      </c>
      <c r="B11" s="6" t="s">
        <v>12</v>
      </c>
      <c r="C11" s="20">
        <f>'[1]CADRI X INSTITUTO'!D10*150%</f>
        <v>90</v>
      </c>
    </row>
    <row r="12" spans="1:3" s="16" customFormat="1" ht="18" customHeight="1" x14ac:dyDescent="0.25">
      <c r="A12" s="9">
        <v>8</v>
      </c>
      <c r="B12" s="6" t="s">
        <v>13</v>
      </c>
      <c r="C12" s="20">
        <f>'[1]CADRI X INSTITUTO'!D11*150%</f>
        <v>90</v>
      </c>
    </row>
    <row r="13" spans="1:3" s="16" customFormat="1" ht="18" customHeight="1" x14ac:dyDescent="0.25">
      <c r="A13" s="9">
        <v>9</v>
      </c>
      <c r="B13" s="6" t="s">
        <v>14</v>
      </c>
      <c r="C13" s="20">
        <f>'[1]CADRI X INSTITUTO'!D12*150%</f>
        <v>90</v>
      </c>
    </row>
    <row r="14" spans="1:3" s="16" customFormat="1" ht="18" customHeight="1" x14ac:dyDescent="0.25">
      <c r="A14" s="9">
        <v>10</v>
      </c>
      <c r="B14" s="6" t="s">
        <v>15</v>
      </c>
      <c r="C14" s="20">
        <f>'[1]CADRI X INSTITUTO'!D13*150%</f>
        <v>120</v>
      </c>
    </row>
    <row r="15" spans="1:3" s="16" customFormat="1" ht="23.25" x14ac:dyDescent="0.25">
      <c r="A15" s="9">
        <v>11</v>
      </c>
      <c r="B15" s="6" t="s">
        <v>16</v>
      </c>
      <c r="C15" s="20">
        <f>'[1]CADRI X INSTITUTO'!D14*150%</f>
        <v>135</v>
      </c>
    </row>
    <row r="16" spans="1:3" s="16" customFormat="1" ht="23.25" x14ac:dyDescent="0.25">
      <c r="A16" s="9">
        <v>12</v>
      </c>
      <c r="B16" s="6" t="s">
        <v>17</v>
      </c>
      <c r="C16" s="20">
        <f>'[1]CADRI X INSTITUTO'!D15*150%</f>
        <v>90</v>
      </c>
    </row>
    <row r="17" spans="1:3" s="16" customFormat="1" ht="23.25" x14ac:dyDescent="0.25">
      <c r="A17" s="9">
        <v>13</v>
      </c>
      <c r="B17" s="6" t="s">
        <v>18</v>
      </c>
      <c r="C17" s="20">
        <f>'[1]CADRI X INSTITUTO'!D16*150%</f>
        <v>75</v>
      </c>
    </row>
    <row r="18" spans="1:3" s="16" customFormat="1" ht="18" customHeight="1" thickBot="1" x14ac:dyDescent="0.3">
      <c r="A18" s="9">
        <v>14</v>
      </c>
      <c r="B18" s="6" t="s">
        <v>19</v>
      </c>
      <c r="C18" s="20">
        <f>'[1]CADRI X INSTITUTO'!D17*150%</f>
        <v>75</v>
      </c>
    </row>
    <row r="19" spans="1:3" s="16" customFormat="1" ht="29.25" customHeight="1" thickBot="1" x14ac:dyDescent="0.3">
      <c r="A19" s="37" t="s">
        <v>20</v>
      </c>
      <c r="B19" s="38"/>
      <c r="C19" s="39"/>
    </row>
    <row r="20" spans="1:3" s="16" customFormat="1" ht="18" customHeight="1" x14ac:dyDescent="0.25">
      <c r="A20" s="9">
        <v>15</v>
      </c>
      <c r="B20" s="6" t="s">
        <v>21</v>
      </c>
      <c r="C20" s="20">
        <f>'[1]CADRI X INSTITUTO'!D18*150%</f>
        <v>127.5</v>
      </c>
    </row>
    <row r="21" spans="1:3" s="16" customFormat="1" ht="23.25" x14ac:dyDescent="0.25">
      <c r="A21" s="9">
        <v>16</v>
      </c>
      <c r="B21" s="6" t="s">
        <v>22</v>
      </c>
      <c r="C21" s="20">
        <f>'[1]CADRI X INSTITUTO'!D19*150%</f>
        <v>142.5</v>
      </c>
    </row>
    <row r="22" spans="1:3" s="16" customFormat="1" ht="23.25" x14ac:dyDescent="0.25">
      <c r="A22" s="9">
        <v>17</v>
      </c>
      <c r="B22" s="6" t="s">
        <v>23</v>
      </c>
      <c r="C22" s="20">
        <f>'[1]CADRI X INSTITUTO'!D20*150%</f>
        <v>165</v>
      </c>
    </row>
    <row r="23" spans="1:3" s="16" customFormat="1" ht="23.25" x14ac:dyDescent="0.25">
      <c r="A23" s="9">
        <v>18</v>
      </c>
      <c r="B23" s="6" t="s">
        <v>24</v>
      </c>
      <c r="C23" s="20">
        <f>'[1]CADRI X INSTITUTO'!D21*150%</f>
        <v>127.5</v>
      </c>
    </row>
    <row r="24" spans="1:3" s="16" customFormat="1" ht="23.25" x14ac:dyDescent="0.25">
      <c r="A24" s="9">
        <v>19</v>
      </c>
      <c r="B24" s="6" t="s">
        <v>25</v>
      </c>
      <c r="C24" s="20">
        <f>'[1]CADRI X INSTITUTO'!D22*150%</f>
        <v>135</v>
      </c>
    </row>
    <row r="25" spans="1:3" s="16" customFormat="1" ht="23.25" x14ac:dyDescent="0.25">
      <c r="A25" s="9">
        <v>20</v>
      </c>
      <c r="B25" s="6" t="s">
        <v>26</v>
      </c>
      <c r="C25" s="20">
        <f>'[1]CADRI X INSTITUTO'!D23*150%</f>
        <v>195</v>
      </c>
    </row>
    <row r="26" spans="1:3" s="16" customFormat="1" ht="23.25" x14ac:dyDescent="0.25">
      <c r="A26" s="9">
        <v>21</v>
      </c>
      <c r="B26" s="24" t="s">
        <v>27</v>
      </c>
      <c r="C26" s="20">
        <f>'[1]CADRI X INSTITUTO'!D24*150%</f>
        <v>135</v>
      </c>
    </row>
    <row r="27" spans="1:3" s="16" customFormat="1" ht="23.25" x14ac:dyDescent="0.25">
      <c r="A27" s="9">
        <v>22</v>
      </c>
      <c r="B27" s="6" t="s">
        <v>28</v>
      </c>
      <c r="C27" s="20">
        <f>'[1]CADRI X INSTITUTO'!D25*150%</f>
        <v>165</v>
      </c>
    </row>
    <row r="28" spans="1:3" s="16" customFormat="1" ht="23.25" x14ac:dyDescent="0.25">
      <c r="A28" s="9">
        <v>23</v>
      </c>
      <c r="B28" s="6" t="s">
        <v>29</v>
      </c>
      <c r="C28" s="20">
        <f>'[1]CADRI X INSTITUTO'!D26*150%</f>
        <v>240</v>
      </c>
    </row>
    <row r="29" spans="1:3" s="16" customFormat="1" ht="24" thickBot="1" x14ac:dyDescent="0.3">
      <c r="A29" s="9">
        <v>24</v>
      </c>
      <c r="B29" s="6" t="s">
        <v>30</v>
      </c>
      <c r="C29" s="20">
        <f>'[1]CADRI X INSTITUTO'!D27*150%</f>
        <v>112.5</v>
      </c>
    </row>
    <row r="30" spans="1:3" s="16" customFormat="1" ht="28.5" thickBot="1" x14ac:dyDescent="0.3">
      <c r="A30" s="37" t="s">
        <v>31</v>
      </c>
      <c r="B30" s="38"/>
      <c r="C30" s="39"/>
    </row>
    <row r="31" spans="1:3" s="16" customFormat="1" ht="23.25" x14ac:dyDescent="0.25">
      <c r="A31" s="9">
        <v>25</v>
      </c>
      <c r="B31" s="6" t="s">
        <v>32</v>
      </c>
      <c r="C31" s="20">
        <f>'[1]CADRI X INSTITUTO'!D28*150%</f>
        <v>90</v>
      </c>
    </row>
    <row r="32" spans="1:3" s="16" customFormat="1" ht="23.25" x14ac:dyDescent="0.25">
      <c r="A32" s="9">
        <v>26</v>
      </c>
      <c r="B32" s="6" t="s">
        <v>33</v>
      </c>
      <c r="C32" s="20">
        <f>'[1]CADRI X INSTITUTO'!D29*150%</f>
        <v>105</v>
      </c>
    </row>
    <row r="33" spans="1:3" s="16" customFormat="1" ht="23.25" x14ac:dyDescent="0.25">
      <c r="A33" s="9">
        <v>27</v>
      </c>
      <c r="B33" s="6" t="s">
        <v>34</v>
      </c>
      <c r="C33" s="20">
        <f>'[1]CADRI X INSTITUTO'!D30*150%</f>
        <v>142.5</v>
      </c>
    </row>
    <row r="34" spans="1:3" s="16" customFormat="1" ht="23.25" x14ac:dyDescent="0.25">
      <c r="A34" s="9">
        <v>28</v>
      </c>
      <c r="B34" s="6" t="s">
        <v>35</v>
      </c>
      <c r="C34" s="20">
        <f>'[1]CADRI X INSTITUTO'!D31*150%</f>
        <v>120</v>
      </c>
    </row>
    <row r="35" spans="1:3" s="16" customFormat="1" ht="23.25" x14ac:dyDescent="0.25">
      <c r="A35" s="9">
        <v>29</v>
      </c>
      <c r="B35" s="6" t="s">
        <v>36</v>
      </c>
      <c r="C35" s="20">
        <f>'[1]CADRI X INSTITUTO'!D32*150%</f>
        <v>105</v>
      </c>
    </row>
    <row r="36" spans="1:3" s="16" customFormat="1" ht="23.25" x14ac:dyDescent="0.25">
      <c r="A36" s="9">
        <v>30</v>
      </c>
      <c r="B36" s="6" t="s">
        <v>37</v>
      </c>
      <c r="C36" s="20">
        <f>'[1]CADRI X INSTITUTO'!D33*150%</f>
        <v>105</v>
      </c>
    </row>
    <row r="37" spans="1:3" s="16" customFormat="1" ht="23.25" x14ac:dyDescent="0.25">
      <c r="A37" s="9">
        <v>31</v>
      </c>
      <c r="B37" s="6" t="s">
        <v>38</v>
      </c>
      <c r="C37" s="20">
        <f>'[1]CADRI X INSTITUTO'!D34*150%</f>
        <v>120</v>
      </c>
    </row>
    <row r="38" spans="1:3" s="16" customFormat="1" ht="23.25" x14ac:dyDescent="0.25">
      <c r="A38" s="9">
        <v>32</v>
      </c>
      <c r="B38" s="6" t="s">
        <v>39</v>
      </c>
      <c r="C38" s="20">
        <f>'[1]CADRI X INSTITUTO'!D35*150%</f>
        <v>105</v>
      </c>
    </row>
    <row r="39" spans="1:3" s="16" customFormat="1" ht="23.25" x14ac:dyDescent="0.25">
      <c r="A39" s="9">
        <v>33</v>
      </c>
      <c r="B39" s="6" t="s">
        <v>40</v>
      </c>
      <c r="C39" s="20">
        <f>'[1]CADRI X INSTITUTO'!D36*150%</f>
        <v>105</v>
      </c>
    </row>
    <row r="40" spans="1:3" s="16" customFormat="1" ht="23.25" x14ac:dyDescent="0.25">
      <c r="A40" s="9">
        <v>34</v>
      </c>
      <c r="B40" s="6" t="s">
        <v>41</v>
      </c>
      <c r="C40" s="20">
        <f>'[1]CADRI X INSTITUTO'!D37*150%</f>
        <v>105</v>
      </c>
    </row>
    <row r="41" spans="1:3" s="16" customFormat="1" ht="23.25" x14ac:dyDescent="0.25">
      <c r="A41" s="9">
        <v>35</v>
      </c>
      <c r="B41" s="6" t="s">
        <v>42</v>
      </c>
      <c r="C41" s="20">
        <f>'[1]CADRI X INSTITUTO'!D38*150%</f>
        <v>90</v>
      </c>
    </row>
    <row r="42" spans="1:3" s="16" customFormat="1" ht="23.25" x14ac:dyDescent="0.25">
      <c r="A42" s="9">
        <v>36</v>
      </c>
      <c r="B42" s="6" t="s">
        <v>43</v>
      </c>
      <c r="C42" s="20">
        <f>'[1]CADRI X INSTITUTO'!D39*150%</f>
        <v>90</v>
      </c>
    </row>
    <row r="43" spans="1:3" s="16" customFormat="1" ht="23.25" x14ac:dyDescent="0.25">
      <c r="A43" s="9">
        <v>37</v>
      </c>
      <c r="B43" s="6" t="s">
        <v>44</v>
      </c>
      <c r="C43" s="20">
        <f>'[1]CADRI X INSTITUTO'!D40*150%</f>
        <v>105</v>
      </c>
    </row>
    <row r="44" spans="1:3" s="16" customFormat="1" ht="24" thickBot="1" x14ac:dyDescent="0.3">
      <c r="A44" s="9">
        <v>38</v>
      </c>
      <c r="B44" s="6" t="s">
        <v>45</v>
      </c>
      <c r="C44" s="20">
        <f>'[1]CADRI X INSTITUTO'!D41*150%</f>
        <v>105</v>
      </c>
    </row>
    <row r="45" spans="1:3" s="16" customFormat="1" ht="28.5" thickBot="1" x14ac:dyDescent="0.3">
      <c r="A45" s="37" t="s">
        <v>46</v>
      </c>
      <c r="B45" s="38"/>
      <c r="C45" s="39"/>
    </row>
    <row r="46" spans="1:3" s="16" customFormat="1" ht="23.25" x14ac:dyDescent="0.25">
      <c r="A46" s="9">
        <v>39</v>
      </c>
      <c r="B46" s="6" t="s">
        <v>47</v>
      </c>
      <c r="C46" s="20">
        <f>'[1]CADRI X INSTITUTO'!D42*150%</f>
        <v>105</v>
      </c>
    </row>
    <row r="47" spans="1:3" s="16" customFormat="1" ht="18" customHeight="1" x14ac:dyDescent="0.25">
      <c r="A47" s="9">
        <v>40</v>
      </c>
      <c r="B47" s="5" t="s">
        <v>48</v>
      </c>
      <c r="C47" s="20">
        <f>'[1]CADRI X INSTITUTO'!D43*150%</f>
        <v>90</v>
      </c>
    </row>
    <row r="48" spans="1:3" s="16" customFormat="1" ht="18" customHeight="1" x14ac:dyDescent="0.25">
      <c r="A48" s="9">
        <v>41</v>
      </c>
      <c r="B48" s="6" t="s">
        <v>49</v>
      </c>
      <c r="C48" s="20">
        <f>'[1]CADRI X INSTITUTO'!D44*150%</f>
        <v>90</v>
      </c>
    </row>
    <row r="49" spans="1:3" s="16" customFormat="1" ht="18" customHeight="1" x14ac:dyDescent="0.25">
      <c r="A49" s="9">
        <v>42</v>
      </c>
      <c r="B49" s="6" t="s">
        <v>50</v>
      </c>
      <c r="C49" s="20">
        <f>'[1]CADRI X INSTITUTO'!D45*150%</f>
        <v>135</v>
      </c>
    </row>
    <row r="50" spans="1:3" s="16" customFormat="1" ht="23.25" x14ac:dyDescent="0.25">
      <c r="A50" s="9">
        <v>43</v>
      </c>
      <c r="B50" s="6" t="s">
        <v>51</v>
      </c>
      <c r="C50" s="20">
        <f>'[1]CADRI X INSTITUTO'!D46*150%</f>
        <v>90</v>
      </c>
    </row>
    <row r="51" spans="1:3" s="16" customFormat="1" ht="23.25" x14ac:dyDescent="0.25">
      <c r="A51" s="9">
        <v>44</v>
      </c>
      <c r="B51" s="6" t="s">
        <v>52</v>
      </c>
      <c r="C51" s="20">
        <f>'[1]CADRI X INSTITUTO'!D47*150%</f>
        <v>105</v>
      </c>
    </row>
    <row r="52" spans="1:3" s="16" customFormat="1" ht="23.25" x14ac:dyDescent="0.25">
      <c r="A52" s="9">
        <v>45</v>
      </c>
      <c r="B52" s="6" t="s">
        <v>53</v>
      </c>
      <c r="C52" s="20">
        <f>'[1]CADRI X INSTITUTO'!D48*150%</f>
        <v>135</v>
      </c>
    </row>
    <row r="53" spans="1:3" s="16" customFormat="1" ht="23.25" x14ac:dyDescent="0.25">
      <c r="A53" s="9">
        <v>46</v>
      </c>
      <c r="B53" s="6" t="s">
        <v>54</v>
      </c>
      <c r="C53" s="20">
        <f>'[1]CADRI X INSTITUTO'!D49*150%</f>
        <v>142.5</v>
      </c>
    </row>
    <row r="54" spans="1:3" s="16" customFormat="1" ht="23.25" x14ac:dyDescent="0.25">
      <c r="A54" s="9">
        <v>47</v>
      </c>
      <c r="B54" s="6" t="s">
        <v>55</v>
      </c>
      <c r="C54" s="20">
        <f>'[1]CADRI X INSTITUTO'!D50*150%</f>
        <v>270</v>
      </c>
    </row>
    <row r="55" spans="1:3" s="16" customFormat="1" ht="18" customHeight="1" x14ac:dyDescent="0.25">
      <c r="A55" s="9">
        <v>48</v>
      </c>
      <c r="B55" s="6" t="s">
        <v>56</v>
      </c>
      <c r="C55" s="20">
        <f>'[1]CADRI X INSTITUTO'!D51*150%</f>
        <v>105</v>
      </c>
    </row>
    <row r="56" spans="1:3" s="16" customFormat="1" ht="23.25" x14ac:dyDescent="0.25">
      <c r="A56" s="9">
        <v>49</v>
      </c>
      <c r="B56" s="6" t="s">
        <v>57</v>
      </c>
      <c r="C56" s="20">
        <f>'[1]CADRI X INSTITUTO'!D52*150%</f>
        <v>90</v>
      </c>
    </row>
    <row r="57" spans="1:3" s="16" customFormat="1" ht="18" customHeight="1" thickBot="1" x14ac:dyDescent="0.3">
      <c r="A57" s="13">
        <v>50</v>
      </c>
      <c r="B57" s="14" t="s">
        <v>58</v>
      </c>
      <c r="C57" s="21">
        <f>'[1]CADRI X INSTITUTO'!D53*150%</f>
        <v>105</v>
      </c>
    </row>
    <row r="58" spans="1:3" s="16" customFormat="1" ht="28.5" thickBot="1" x14ac:dyDescent="0.3">
      <c r="A58" s="37" t="s">
        <v>59</v>
      </c>
      <c r="B58" s="38"/>
      <c r="C58" s="39"/>
    </row>
    <row r="59" spans="1:3" s="16" customFormat="1" ht="23.25" x14ac:dyDescent="0.25">
      <c r="A59" s="9">
        <v>51</v>
      </c>
      <c r="B59" s="6" t="s">
        <v>60</v>
      </c>
      <c r="C59" s="20">
        <f>'[1]CADRI X INSTITUTO'!D54*150%</f>
        <v>135</v>
      </c>
    </row>
    <row r="60" spans="1:3" s="16" customFormat="1" ht="23.25" x14ac:dyDescent="0.25">
      <c r="A60" s="9">
        <v>52</v>
      </c>
      <c r="B60" s="6" t="s">
        <v>61</v>
      </c>
      <c r="C60" s="20">
        <f>'[1]CADRI X INSTITUTO'!D55*150%</f>
        <v>150</v>
      </c>
    </row>
    <row r="61" spans="1:3" s="16" customFormat="1" ht="23.25" x14ac:dyDescent="0.25">
      <c r="A61" s="9">
        <v>53</v>
      </c>
      <c r="B61" s="6" t="s">
        <v>62</v>
      </c>
      <c r="C61" s="20">
        <f>'[1]CADRI X INSTITUTO'!D56*150%</f>
        <v>195</v>
      </c>
    </row>
    <row r="62" spans="1:3" s="16" customFormat="1" ht="23.25" x14ac:dyDescent="0.25">
      <c r="A62" s="9">
        <v>54</v>
      </c>
      <c r="B62" s="6" t="s">
        <v>63</v>
      </c>
      <c r="C62" s="20">
        <f>'[1]CADRI X INSTITUTO'!D57*150%</f>
        <v>120</v>
      </c>
    </row>
    <row r="63" spans="1:3" s="16" customFormat="1" ht="24" thickBot="1" x14ac:dyDescent="0.3">
      <c r="A63" s="29">
        <v>55</v>
      </c>
      <c r="B63" s="30" t="s">
        <v>64</v>
      </c>
      <c r="C63" s="31">
        <f>'[1]CADRI X INSTITUTO'!D58*150%</f>
        <v>210</v>
      </c>
    </row>
    <row r="64" spans="1:3" ht="28.5" thickBot="1" x14ac:dyDescent="0.3">
      <c r="A64" s="40" t="s">
        <v>65</v>
      </c>
      <c r="B64" s="41"/>
      <c r="C64" s="42"/>
    </row>
    <row r="65" spans="1:3" ht="23.25" x14ac:dyDescent="0.25">
      <c r="A65" s="9">
        <v>56</v>
      </c>
      <c r="B65" s="4" t="s">
        <v>66</v>
      </c>
      <c r="C65" s="20">
        <f>'[1]CADRI X INSTITUTO'!D59*150%</f>
        <v>990</v>
      </c>
    </row>
    <row r="66" spans="1:3" ht="23.25" x14ac:dyDescent="0.25">
      <c r="A66" s="25">
        <v>57</v>
      </c>
      <c r="B66" s="5" t="s">
        <v>67</v>
      </c>
      <c r="C66" s="26">
        <f>'[1]CADRI X INSTITUTO'!D60*150%</f>
        <v>1980</v>
      </c>
    </row>
    <row r="67" spans="1:3" ht="23.25" x14ac:dyDescent="0.25">
      <c r="A67" s="25">
        <v>58</v>
      </c>
      <c r="B67" s="5" t="s">
        <v>68</v>
      </c>
      <c r="C67" s="26">
        <f>'[1]CADRI X INSTITUTO'!D61*150%</f>
        <v>2970</v>
      </c>
    </row>
    <row r="68" spans="1:3" ht="23.25" x14ac:dyDescent="0.25">
      <c r="A68" s="25">
        <v>59</v>
      </c>
      <c r="B68" s="5" t="s">
        <v>69</v>
      </c>
      <c r="C68" s="26">
        <f>'[1]CADRI X INSTITUTO'!D62*150%</f>
        <v>3960</v>
      </c>
    </row>
    <row r="69" spans="1:3" ht="23.25" x14ac:dyDescent="0.25">
      <c r="A69" s="25">
        <v>60</v>
      </c>
      <c r="B69" s="5" t="s">
        <v>70</v>
      </c>
      <c r="C69" s="26">
        <f>'[1]CADRI X INSTITUTO'!D63*150%</f>
        <v>2250</v>
      </c>
    </row>
    <row r="70" spans="1:3" ht="23.25" x14ac:dyDescent="0.25">
      <c r="A70" s="25">
        <v>61</v>
      </c>
      <c r="B70" s="5" t="s">
        <v>71</v>
      </c>
      <c r="C70" s="26">
        <f>'[1]CADRI X INSTITUTO'!D64*150%</f>
        <v>2700</v>
      </c>
    </row>
    <row r="71" spans="1:3" ht="23.25" x14ac:dyDescent="0.25">
      <c r="A71" s="25">
        <v>62</v>
      </c>
      <c r="B71" s="5" t="s">
        <v>72</v>
      </c>
      <c r="C71" s="26">
        <f>'[1]CADRI X INSTITUTO'!D65*150%</f>
        <v>1050</v>
      </c>
    </row>
    <row r="72" spans="1:3" ht="23.25" x14ac:dyDescent="0.25">
      <c r="A72" s="25">
        <v>63</v>
      </c>
      <c r="B72" s="5" t="s">
        <v>73</v>
      </c>
      <c r="C72" s="26">
        <f>'[1]CADRI X INSTITUTO'!D66*150%</f>
        <v>2100</v>
      </c>
    </row>
    <row r="73" spans="1:3" ht="23.25" x14ac:dyDescent="0.25">
      <c r="A73" s="25">
        <v>64</v>
      </c>
      <c r="B73" s="5" t="s">
        <v>74</v>
      </c>
      <c r="C73" s="26">
        <f>'[1]CADRI X INSTITUTO'!D67*150%</f>
        <v>3075</v>
      </c>
    </row>
    <row r="74" spans="1:3" ht="23.25" x14ac:dyDescent="0.25">
      <c r="A74" s="25">
        <v>65</v>
      </c>
      <c r="B74" s="5" t="s">
        <v>75</v>
      </c>
      <c r="C74" s="26">
        <f>'[1]CADRI X INSTITUTO'!D68*150%</f>
        <v>4050</v>
      </c>
    </row>
    <row r="75" spans="1:3" ht="23.25" x14ac:dyDescent="0.25">
      <c r="A75" s="25">
        <v>66</v>
      </c>
      <c r="B75" s="5" t="s">
        <v>76</v>
      </c>
      <c r="C75" s="26">
        <f>'[1]CADRI X INSTITUTO'!D69*150%</f>
        <v>1087.5</v>
      </c>
    </row>
    <row r="76" spans="1:3" ht="23.25" x14ac:dyDescent="0.25">
      <c r="A76" s="25">
        <v>67</v>
      </c>
      <c r="B76" s="5" t="s">
        <v>77</v>
      </c>
      <c r="C76" s="26">
        <f>'[1]CADRI X INSTITUTO'!D70*150%</f>
        <v>2175</v>
      </c>
    </row>
    <row r="77" spans="1:3" ht="23.25" x14ac:dyDescent="0.25">
      <c r="A77" s="25">
        <v>68</v>
      </c>
      <c r="B77" s="5" t="s">
        <v>78</v>
      </c>
      <c r="C77" s="26">
        <f>'[1]CADRI X INSTITUTO'!D71*150%</f>
        <v>3262.5</v>
      </c>
    </row>
    <row r="78" spans="1:3" ht="23.25" x14ac:dyDescent="0.25">
      <c r="A78" s="25">
        <v>69</v>
      </c>
      <c r="B78" s="5" t="s">
        <v>79</v>
      </c>
      <c r="C78" s="26">
        <f>'[1]CADRI X INSTITUTO'!D72*150%</f>
        <v>4500</v>
      </c>
    </row>
    <row r="79" spans="1:3" ht="23.25" x14ac:dyDescent="0.25">
      <c r="A79" s="25">
        <v>70</v>
      </c>
      <c r="B79" s="5" t="s">
        <v>80</v>
      </c>
      <c r="C79" s="26">
        <f>'[1]CADRI X INSTITUTO'!D73*150%</f>
        <v>285</v>
      </c>
    </row>
    <row r="80" spans="1:3" ht="23.25" x14ac:dyDescent="0.25">
      <c r="A80" s="25">
        <v>71</v>
      </c>
      <c r="B80" s="5" t="s">
        <v>81</v>
      </c>
      <c r="C80" s="26">
        <f>'[1]CADRI X INSTITUTO'!D74*150%</f>
        <v>285</v>
      </c>
    </row>
    <row r="81" spans="1:3" ht="36" x14ac:dyDescent="0.25">
      <c r="A81" s="25">
        <v>72</v>
      </c>
      <c r="B81" s="6" t="s">
        <v>218</v>
      </c>
      <c r="C81" s="26">
        <f>'[1]CADRI X INSTITUTO'!D75*150%</f>
        <v>345</v>
      </c>
    </row>
    <row r="82" spans="1:3" ht="18" customHeight="1" x14ac:dyDescent="0.25">
      <c r="A82" s="25">
        <v>73</v>
      </c>
      <c r="B82" s="5" t="s">
        <v>66</v>
      </c>
      <c r="C82" s="26">
        <f>'[1]CADRI X INSTITUTO'!D80*150%</f>
        <v>135</v>
      </c>
    </row>
    <row r="83" spans="1:3" ht="23.25" x14ac:dyDescent="0.25">
      <c r="A83" s="25">
        <v>74</v>
      </c>
      <c r="B83" s="5" t="s">
        <v>67</v>
      </c>
      <c r="C83" s="26">
        <f>'[1]CADRI X INSTITUTO'!D81*150%</f>
        <v>135</v>
      </c>
    </row>
    <row r="84" spans="1:3" ht="23.25" x14ac:dyDescent="0.25">
      <c r="A84" s="25">
        <v>75</v>
      </c>
      <c r="B84" s="5" t="s">
        <v>68</v>
      </c>
      <c r="C84" s="26">
        <f>'[1]CADRI X INSTITUTO'!D82*150%</f>
        <v>147</v>
      </c>
    </row>
    <row r="85" spans="1:3" ht="23.25" x14ac:dyDescent="0.25">
      <c r="A85" s="25">
        <v>76</v>
      </c>
      <c r="B85" s="5" t="s">
        <v>69</v>
      </c>
      <c r="C85" s="26">
        <f>'[1]CADRI X INSTITUTO'!D83*150%</f>
        <v>120</v>
      </c>
    </row>
    <row r="86" spans="1:3" ht="18" customHeight="1" x14ac:dyDescent="0.25">
      <c r="A86" s="25">
        <v>77</v>
      </c>
      <c r="B86" s="5" t="s">
        <v>70</v>
      </c>
      <c r="C86" s="26">
        <f>'[1]CADRI X INSTITUTO'!D84*150%</f>
        <v>165</v>
      </c>
    </row>
    <row r="87" spans="1:3" ht="23.25" x14ac:dyDescent="0.25">
      <c r="A87" s="25">
        <v>78</v>
      </c>
      <c r="B87" s="5" t="s">
        <v>71</v>
      </c>
      <c r="C87" s="26">
        <f>'[1]CADRI X INSTITUTO'!D85*150%</f>
        <v>225</v>
      </c>
    </row>
    <row r="88" spans="1:3" ht="23.25" x14ac:dyDescent="0.25">
      <c r="A88" s="25">
        <v>79</v>
      </c>
      <c r="B88" s="5" t="s">
        <v>72</v>
      </c>
      <c r="C88" s="26">
        <f>'[1]CADRI X INSTITUTO'!D86*150%</f>
        <v>120</v>
      </c>
    </row>
    <row r="89" spans="1:3" ht="18" customHeight="1" thickBot="1" x14ac:dyDescent="0.3">
      <c r="A89" s="25">
        <v>80</v>
      </c>
      <c r="B89" s="32" t="s">
        <v>73</v>
      </c>
      <c r="C89" s="26">
        <f>'[1]CADRI X INSTITUTO'!D87*150%</f>
        <v>120</v>
      </c>
    </row>
    <row r="90" spans="1:3" ht="23.25" x14ac:dyDescent="0.25">
      <c r="A90" s="33">
        <v>81</v>
      </c>
      <c r="B90" s="35" t="s">
        <v>74</v>
      </c>
      <c r="C90" s="34">
        <f>'[1]CADRI X INSTITUTO'!D88*150%</f>
        <v>195</v>
      </c>
    </row>
    <row r="91" spans="1:3" ht="23.25" x14ac:dyDescent="0.25">
      <c r="A91" s="33">
        <v>82</v>
      </c>
      <c r="B91" s="5" t="s">
        <v>75</v>
      </c>
      <c r="C91" s="34">
        <f>'[1]CADRI X INSTITUTO'!D89*150%</f>
        <v>135</v>
      </c>
    </row>
    <row r="92" spans="1:3" ht="23.25" x14ac:dyDescent="0.25">
      <c r="A92" s="25">
        <v>83</v>
      </c>
      <c r="B92" s="4" t="s">
        <v>76</v>
      </c>
      <c r="C92" s="26">
        <f>'[1]CADRI X INSTITUTO'!D90*150%</f>
        <v>292.5</v>
      </c>
    </row>
    <row r="93" spans="1:3" ht="23.25" x14ac:dyDescent="0.25">
      <c r="A93" s="25">
        <v>84</v>
      </c>
      <c r="B93" s="5" t="s">
        <v>77</v>
      </c>
      <c r="C93" s="26">
        <f>'[1]CADRI X INSTITUTO'!D91*150%</f>
        <v>300</v>
      </c>
    </row>
    <row r="94" spans="1:3" ht="23.25" x14ac:dyDescent="0.25">
      <c r="A94" s="25">
        <v>85</v>
      </c>
      <c r="B94" s="5" t="s">
        <v>78</v>
      </c>
      <c r="C94" s="26">
        <f>'[1]CADRI X INSTITUTO'!D92*150%</f>
        <v>285</v>
      </c>
    </row>
    <row r="95" spans="1:3" ht="18" customHeight="1" x14ac:dyDescent="0.25">
      <c r="A95" s="25">
        <v>86</v>
      </c>
      <c r="B95" s="5" t="s">
        <v>79</v>
      </c>
      <c r="C95" s="26">
        <f>'[1]CADRI X INSTITUTO'!D93*150%</f>
        <v>270</v>
      </c>
    </row>
    <row r="96" spans="1:3" ht="18" customHeight="1" x14ac:dyDescent="0.25">
      <c r="A96" s="25">
        <v>87</v>
      </c>
      <c r="B96" s="5" t="s">
        <v>80</v>
      </c>
      <c r="C96" s="26">
        <f>'[1]CADRI X INSTITUTO'!D94*150%</f>
        <v>570</v>
      </c>
    </row>
    <row r="97" spans="1:3" ht="23.25" x14ac:dyDescent="0.25">
      <c r="A97" s="25">
        <v>88</v>
      </c>
      <c r="B97" s="5" t="s">
        <v>81</v>
      </c>
      <c r="C97" s="26">
        <f>'[1]CADRI X INSTITUTO'!D95*150%</f>
        <v>270</v>
      </c>
    </row>
    <row r="98" spans="1:3" ht="36" x14ac:dyDescent="0.25">
      <c r="A98" s="25">
        <v>89</v>
      </c>
      <c r="B98" s="6" t="s">
        <v>217</v>
      </c>
      <c r="C98" s="26">
        <f>'[1]CADRI X INSTITUTO'!D96*150%</f>
        <v>270</v>
      </c>
    </row>
    <row r="99" spans="1:3" ht="28.5" thickBot="1" x14ac:dyDescent="0.3">
      <c r="A99" s="43" t="s">
        <v>82</v>
      </c>
      <c r="B99" s="44"/>
      <c r="C99" s="45"/>
    </row>
    <row r="100" spans="1:3" ht="23.25" x14ac:dyDescent="0.25">
      <c r="A100" s="9">
        <v>90</v>
      </c>
      <c r="B100" s="6" t="s">
        <v>83</v>
      </c>
      <c r="C100" s="20">
        <f>'[1]CADRI X INSTITUTO'!D97*150%</f>
        <v>135</v>
      </c>
    </row>
    <row r="101" spans="1:3" ht="23.25" x14ac:dyDescent="0.25">
      <c r="A101" s="9">
        <v>91</v>
      </c>
      <c r="B101" s="6" t="s">
        <v>219</v>
      </c>
      <c r="C101" s="20">
        <f>'[1]CADRI X INSTITUTO'!D98*150%</f>
        <v>135</v>
      </c>
    </row>
    <row r="102" spans="1:3" ht="23.25" x14ac:dyDescent="0.25">
      <c r="A102" s="25">
        <v>92</v>
      </c>
      <c r="B102" s="6" t="s">
        <v>87</v>
      </c>
      <c r="C102" s="26">
        <f>'[1]CADRI X INSTITUTO'!D99*150%</f>
        <v>300</v>
      </c>
    </row>
    <row r="103" spans="1:3" ht="23.25" x14ac:dyDescent="0.25">
      <c r="A103" s="25">
        <v>93</v>
      </c>
      <c r="B103" s="6" t="s">
        <v>88</v>
      </c>
      <c r="C103" s="26">
        <f>'[1]CADRI X INSTITUTO'!D100*150%</f>
        <v>225</v>
      </c>
    </row>
    <row r="104" spans="1:3" ht="23.25" x14ac:dyDescent="0.25">
      <c r="A104" s="25">
        <v>94</v>
      </c>
      <c r="B104" s="6" t="s">
        <v>89</v>
      </c>
      <c r="C104" s="26">
        <f>'[1]CADRI X INSTITUTO'!D101*150%</f>
        <v>135</v>
      </c>
    </row>
    <row r="105" spans="1:3" ht="23.25" x14ac:dyDescent="0.25">
      <c r="A105" s="25">
        <v>95</v>
      </c>
      <c r="B105" s="6" t="s">
        <v>90</v>
      </c>
      <c r="C105" s="26">
        <f>'[1]CADRI X INSTITUTO'!D102*150%</f>
        <v>412.5</v>
      </c>
    </row>
    <row r="106" spans="1:3" ht="23.25" x14ac:dyDescent="0.25">
      <c r="A106" s="25">
        <v>96</v>
      </c>
      <c r="B106" s="6" t="s">
        <v>91</v>
      </c>
      <c r="C106" s="26">
        <f>'[1]CADRI X INSTITUTO'!D103*150%</f>
        <v>825</v>
      </c>
    </row>
    <row r="107" spans="1:3" ht="23.25" x14ac:dyDescent="0.25">
      <c r="A107" s="25">
        <v>97</v>
      </c>
      <c r="B107" s="6" t="s">
        <v>92</v>
      </c>
      <c r="C107" s="26">
        <f>'[1]CADRI X INSTITUTO'!D104*150%</f>
        <v>675</v>
      </c>
    </row>
    <row r="108" spans="1:3" ht="23.25" x14ac:dyDescent="0.25">
      <c r="A108" s="25">
        <v>98</v>
      </c>
      <c r="B108" s="6" t="s">
        <v>93</v>
      </c>
      <c r="C108" s="26">
        <f>'[1]CADRI X INSTITUTO'!D105*150%</f>
        <v>810</v>
      </c>
    </row>
    <row r="109" spans="1:3" ht="18" customHeight="1" x14ac:dyDescent="0.25">
      <c r="A109" s="25">
        <v>99</v>
      </c>
      <c r="B109" s="6" t="s">
        <v>95</v>
      </c>
      <c r="C109" s="26">
        <f>'[1]CADRI X INSTITUTO'!D107*150%</f>
        <v>735</v>
      </c>
    </row>
    <row r="110" spans="1:3" ht="24" thickBot="1" x14ac:dyDescent="0.3">
      <c r="A110" s="27">
        <v>100</v>
      </c>
      <c r="B110" s="14" t="s">
        <v>96</v>
      </c>
      <c r="C110" s="28">
        <f>'[1]CADRI X INSTITUTO'!D108*150%</f>
        <v>735</v>
      </c>
    </row>
    <row r="111" spans="1:3" ht="28.5" thickBot="1" x14ac:dyDescent="0.3">
      <c r="A111" s="37" t="s">
        <v>82</v>
      </c>
      <c r="B111" s="38"/>
      <c r="C111" s="39"/>
    </row>
    <row r="112" spans="1:3" ht="36" x14ac:dyDescent="0.25">
      <c r="A112" s="9">
        <v>101</v>
      </c>
      <c r="B112" s="10" t="s">
        <v>215</v>
      </c>
      <c r="C112" s="20">
        <f>'[1]CADRI X INSTITUTO'!D109*150%</f>
        <v>630</v>
      </c>
    </row>
    <row r="113" spans="1:3" ht="18" customHeight="1" x14ac:dyDescent="0.25">
      <c r="A113" s="9">
        <v>102</v>
      </c>
      <c r="B113" s="5" t="s">
        <v>216</v>
      </c>
      <c r="C113" s="20">
        <f>'[1]CADRI X INSTITUTO'!D110*150%</f>
        <v>630</v>
      </c>
    </row>
    <row r="114" spans="1:3" ht="23.25" x14ac:dyDescent="0.25">
      <c r="A114" s="9">
        <v>103</v>
      </c>
      <c r="B114" s="6" t="s">
        <v>97</v>
      </c>
      <c r="C114" s="20">
        <f>'[1]CADRI X INSTITUTO'!D112*150%</f>
        <v>465</v>
      </c>
    </row>
    <row r="115" spans="1:3" ht="23.25" x14ac:dyDescent="0.25">
      <c r="A115" s="9">
        <v>104</v>
      </c>
      <c r="B115" s="6" t="s">
        <v>98</v>
      </c>
      <c r="C115" s="20">
        <v>465</v>
      </c>
    </row>
    <row r="116" spans="1:3" ht="23.25" x14ac:dyDescent="0.25">
      <c r="A116" s="9">
        <v>105</v>
      </c>
      <c r="B116" s="6" t="s">
        <v>99</v>
      </c>
      <c r="C116" s="20">
        <f>260*150%</f>
        <v>390</v>
      </c>
    </row>
    <row r="117" spans="1:3" ht="23.25" x14ac:dyDescent="0.25">
      <c r="A117" s="9">
        <v>106</v>
      </c>
      <c r="B117" s="6" t="s">
        <v>100</v>
      </c>
      <c r="C117" s="20">
        <f>260*150%</f>
        <v>390</v>
      </c>
    </row>
    <row r="118" spans="1:3" ht="36" x14ac:dyDescent="0.25">
      <c r="A118" s="9">
        <v>107</v>
      </c>
      <c r="B118" s="6" t="s">
        <v>101</v>
      </c>
      <c r="C118" s="20">
        <f>'[1]CADRI X INSTITUTO'!D116*150%</f>
        <v>300</v>
      </c>
    </row>
    <row r="119" spans="1:3" ht="36" x14ac:dyDescent="0.25">
      <c r="A119" s="9">
        <v>108</v>
      </c>
      <c r="B119" s="6" t="s">
        <v>102</v>
      </c>
      <c r="C119" s="20">
        <f>330*150%</f>
        <v>495</v>
      </c>
    </row>
    <row r="120" spans="1:3" ht="36" x14ac:dyDescent="0.25">
      <c r="A120" s="9">
        <v>109</v>
      </c>
      <c r="B120" s="6" t="s">
        <v>103</v>
      </c>
      <c r="C120" s="20">
        <f>'[1]CADRI X INSTITUTO'!D118*150%</f>
        <v>495</v>
      </c>
    </row>
    <row r="121" spans="1:3" ht="23.25" x14ac:dyDescent="0.25">
      <c r="A121" s="9">
        <v>110</v>
      </c>
      <c r="B121" s="6" t="s">
        <v>104</v>
      </c>
      <c r="C121" s="20">
        <f>'[1]CADRI X INSTITUTO'!D119*150%</f>
        <v>480</v>
      </c>
    </row>
    <row r="122" spans="1:3" ht="23.25" x14ac:dyDescent="0.25">
      <c r="A122" s="9">
        <v>111</v>
      </c>
      <c r="B122" s="6" t="s">
        <v>105</v>
      </c>
      <c r="C122" s="20">
        <f>'[1]CADRI X INSTITUTO'!D120*150%</f>
        <v>450</v>
      </c>
    </row>
    <row r="123" spans="1:3" ht="23.25" x14ac:dyDescent="0.25">
      <c r="A123" s="9">
        <v>112</v>
      </c>
      <c r="B123" s="6" t="s">
        <v>106</v>
      </c>
      <c r="C123" s="20">
        <f>'[1]CADRI X INSTITUTO'!D121*150%</f>
        <v>510</v>
      </c>
    </row>
    <row r="124" spans="1:3" ht="23.25" x14ac:dyDescent="0.25">
      <c r="A124" s="9">
        <v>113</v>
      </c>
      <c r="B124" s="6" t="s">
        <v>107</v>
      </c>
      <c r="C124" s="20">
        <f>'[1]CADRI X INSTITUTO'!D122*150%</f>
        <v>510</v>
      </c>
    </row>
    <row r="125" spans="1:3" ht="36" x14ac:dyDescent="0.25">
      <c r="A125" s="9">
        <v>114</v>
      </c>
      <c r="B125" s="6" t="s">
        <v>108</v>
      </c>
      <c r="C125" s="20">
        <f>'[1]CADRI X INSTITUTO'!D123*150%</f>
        <v>495</v>
      </c>
    </row>
    <row r="126" spans="1:3" ht="23.25" x14ac:dyDescent="0.25">
      <c r="A126" s="9">
        <v>115</v>
      </c>
      <c r="B126" s="6" t="s">
        <v>109</v>
      </c>
      <c r="C126" s="20">
        <f>'[1]CADRI X INSTITUTO'!D124*150%</f>
        <v>420</v>
      </c>
    </row>
    <row r="127" spans="1:3" ht="24" thickBot="1" x14ac:dyDescent="0.3">
      <c r="A127" s="9">
        <v>116</v>
      </c>
      <c r="B127" s="6" t="s">
        <v>110</v>
      </c>
      <c r="C127" s="20">
        <f>'[1]CADRI X INSTITUTO'!D125*150%</f>
        <v>630</v>
      </c>
    </row>
    <row r="128" spans="1:3" ht="28.5" thickBot="1" x14ac:dyDescent="0.3">
      <c r="A128" s="37" t="s">
        <v>111</v>
      </c>
      <c r="B128" s="38"/>
      <c r="C128" s="39"/>
    </row>
    <row r="129" spans="1:3" ht="18" customHeight="1" x14ac:dyDescent="0.25">
      <c r="A129" s="9">
        <v>117</v>
      </c>
      <c r="B129" s="36" t="s">
        <v>112</v>
      </c>
      <c r="C129" s="20" t="s">
        <v>94</v>
      </c>
    </row>
    <row r="130" spans="1:3" ht="23.25" x14ac:dyDescent="0.25">
      <c r="A130" s="9">
        <v>118</v>
      </c>
      <c r="B130" s="5" t="s">
        <v>113</v>
      </c>
      <c r="C130" s="20">
        <f>'[1]CADRI X INSTITUTO'!D127*150%</f>
        <v>870</v>
      </c>
    </row>
    <row r="131" spans="1:3" ht="23.25" x14ac:dyDescent="0.25">
      <c r="A131" s="9">
        <v>119</v>
      </c>
      <c r="B131" s="5" t="s">
        <v>114</v>
      </c>
      <c r="C131" s="20">
        <f>'[1]CADRI X INSTITUTO'!D128*150%</f>
        <v>750</v>
      </c>
    </row>
    <row r="132" spans="1:3" ht="23.25" x14ac:dyDescent="0.25">
      <c r="A132" s="9">
        <v>120</v>
      </c>
      <c r="B132" s="5" t="s">
        <v>115</v>
      </c>
      <c r="C132" s="20">
        <f>'[1]CADRI X INSTITUTO'!D129*150%</f>
        <v>1350</v>
      </c>
    </row>
    <row r="133" spans="1:3" ht="23.25" x14ac:dyDescent="0.25">
      <c r="A133" s="9">
        <v>121</v>
      </c>
      <c r="B133" s="5" t="s">
        <v>220</v>
      </c>
      <c r="C133" s="20">
        <f>'[1]CADRI X INSTITUTO'!D130*150%</f>
        <v>2100</v>
      </c>
    </row>
    <row r="134" spans="1:3" ht="23.25" x14ac:dyDescent="0.25">
      <c r="A134" s="9">
        <v>122</v>
      </c>
      <c r="B134" s="5" t="s">
        <v>116</v>
      </c>
      <c r="C134" s="20">
        <f>'[1]CADRI X INSTITUTO'!D131*150%</f>
        <v>540</v>
      </c>
    </row>
    <row r="135" spans="1:3" ht="23.25" x14ac:dyDescent="0.25">
      <c r="A135" s="9">
        <v>123</v>
      </c>
      <c r="B135" s="5" t="s">
        <v>117</v>
      </c>
      <c r="C135" s="20">
        <f>'[1]CADRI X INSTITUTO'!D132*150%</f>
        <v>540</v>
      </c>
    </row>
    <row r="136" spans="1:3" ht="23.25" x14ac:dyDescent="0.25">
      <c r="A136" s="9">
        <v>124</v>
      </c>
      <c r="B136" s="5" t="s">
        <v>118</v>
      </c>
      <c r="C136" s="20">
        <f>'[1]CADRI X INSTITUTO'!D133*150%</f>
        <v>525</v>
      </c>
    </row>
    <row r="137" spans="1:3" ht="23.25" x14ac:dyDescent="0.25">
      <c r="A137" s="9">
        <v>125</v>
      </c>
      <c r="B137" s="5" t="s">
        <v>119</v>
      </c>
      <c r="C137" s="20">
        <f>'[1]CADRI X INSTITUTO'!D134*150%</f>
        <v>690</v>
      </c>
    </row>
    <row r="138" spans="1:3" ht="23.25" x14ac:dyDescent="0.25">
      <c r="A138" s="9">
        <v>126</v>
      </c>
      <c r="B138" s="5" t="s">
        <v>120</v>
      </c>
      <c r="C138" s="20">
        <f>'[1]CADRI X INSTITUTO'!D135*150%</f>
        <v>690</v>
      </c>
    </row>
    <row r="139" spans="1:3" ht="23.25" x14ac:dyDescent="0.25">
      <c r="A139" s="9">
        <v>127</v>
      </c>
      <c r="B139" s="5" t="s">
        <v>121</v>
      </c>
      <c r="C139" s="20">
        <f>'[1]CADRI X INSTITUTO'!D136*150%</f>
        <v>690</v>
      </c>
    </row>
    <row r="140" spans="1:3" ht="23.25" x14ac:dyDescent="0.25">
      <c r="A140" s="9">
        <v>128</v>
      </c>
      <c r="B140" s="5" t="s">
        <v>122</v>
      </c>
      <c r="C140" s="20">
        <f>'[1]CADRI X INSTITUTO'!D137*150%</f>
        <v>765</v>
      </c>
    </row>
    <row r="141" spans="1:3" ht="23.25" x14ac:dyDescent="0.25">
      <c r="A141" s="9">
        <v>129</v>
      </c>
      <c r="B141" s="5" t="s">
        <v>213</v>
      </c>
      <c r="C141" s="20">
        <f>'[1]CADRI X INSTITUTO'!D138*150%</f>
        <v>795</v>
      </c>
    </row>
    <row r="142" spans="1:3" ht="23.25" x14ac:dyDescent="0.25">
      <c r="A142" s="9">
        <v>130</v>
      </c>
      <c r="B142" s="5" t="s">
        <v>123</v>
      </c>
      <c r="C142" s="20">
        <f>'[1]CADRI X INSTITUTO'!D139*150%</f>
        <v>675</v>
      </c>
    </row>
    <row r="143" spans="1:3" ht="23.25" x14ac:dyDescent="0.25">
      <c r="A143" s="9">
        <v>131</v>
      </c>
      <c r="B143" s="5" t="s">
        <v>124</v>
      </c>
      <c r="C143" s="20">
        <f>'[1]CADRI X INSTITUTO'!D140*150%</f>
        <v>855</v>
      </c>
    </row>
    <row r="144" spans="1:3" ht="23.25" x14ac:dyDescent="0.25">
      <c r="A144" s="9">
        <v>132</v>
      </c>
      <c r="B144" s="5" t="s">
        <v>125</v>
      </c>
      <c r="C144" s="20">
        <f>'[1]CADRI X INSTITUTO'!D141*150%</f>
        <v>1470</v>
      </c>
    </row>
    <row r="145" spans="1:3" ht="23.25" x14ac:dyDescent="0.25">
      <c r="A145" s="9">
        <v>133</v>
      </c>
      <c r="B145" s="5" t="s">
        <v>126</v>
      </c>
      <c r="C145" s="20">
        <f>'[1]CADRI X INSTITUTO'!D142*150%</f>
        <v>1275</v>
      </c>
    </row>
    <row r="146" spans="1:3" ht="23.25" x14ac:dyDescent="0.25">
      <c r="A146" s="9">
        <v>134</v>
      </c>
      <c r="B146" s="5" t="s">
        <v>127</v>
      </c>
      <c r="C146" s="20">
        <f>'[1]CADRI X INSTITUTO'!D143*150%</f>
        <v>1380</v>
      </c>
    </row>
    <row r="147" spans="1:3" ht="23.25" x14ac:dyDescent="0.25">
      <c r="A147" s="9">
        <v>135</v>
      </c>
      <c r="B147" s="5" t="s">
        <v>128</v>
      </c>
      <c r="C147" s="20">
        <f>'[1]CADRI X INSTITUTO'!D144*150%</f>
        <v>1380</v>
      </c>
    </row>
    <row r="148" spans="1:3" ht="23.25" x14ac:dyDescent="0.25">
      <c r="A148" s="9">
        <v>136</v>
      </c>
      <c r="B148" s="5" t="s">
        <v>129</v>
      </c>
      <c r="C148" s="20">
        <f>'[1]CADRI X INSTITUTO'!D145*150%</f>
        <v>1380</v>
      </c>
    </row>
    <row r="149" spans="1:3" ht="23.25" x14ac:dyDescent="0.25">
      <c r="A149" s="9">
        <v>137</v>
      </c>
      <c r="B149" s="5" t="s">
        <v>130</v>
      </c>
      <c r="C149" s="20">
        <f>'[1]CADRI X INSTITUTO'!D146*150%</f>
        <v>1380</v>
      </c>
    </row>
    <row r="150" spans="1:3" ht="23.25" x14ac:dyDescent="0.25">
      <c r="A150" s="9">
        <v>138</v>
      </c>
      <c r="B150" s="5" t="s">
        <v>131</v>
      </c>
      <c r="C150" s="20">
        <f>'[1]CADRI X INSTITUTO'!D147*150%</f>
        <v>1380</v>
      </c>
    </row>
    <row r="151" spans="1:3" ht="23.25" x14ac:dyDescent="0.25">
      <c r="A151" s="9">
        <v>139</v>
      </c>
      <c r="B151" s="5" t="s">
        <v>132</v>
      </c>
      <c r="C151" s="20">
        <f>'[1]CADRI X INSTITUTO'!D148*150%</f>
        <v>1380</v>
      </c>
    </row>
    <row r="152" spans="1:3" ht="23.25" x14ac:dyDescent="0.25">
      <c r="A152" s="9">
        <v>140</v>
      </c>
      <c r="B152" s="5" t="s">
        <v>133</v>
      </c>
      <c r="C152" s="20">
        <f>'[1]CADRI X INSTITUTO'!D149*150%</f>
        <v>1380</v>
      </c>
    </row>
    <row r="153" spans="1:3" ht="23.25" x14ac:dyDescent="0.25">
      <c r="A153" s="9">
        <v>141</v>
      </c>
      <c r="B153" s="5" t="s">
        <v>134</v>
      </c>
      <c r="C153" s="20">
        <f>'[1]CADRI X INSTITUTO'!D150*150%</f>
        <v>1380</v>
      </c>
    </row>
    <row r="154" spans="1:3" ht="23.25" x14ac:dyDescent="0.25">
      <c r="A154" s="9">
        <v>142</v>
      </c>
      <c r="B154" s="5" t="s">
        <v>135</v>
      </c>
      <c r="C154" s="20">
        <f>'[1]CADRI X INSTITUTO'!D151*150%</f>
        <v>1380</v>
      </c>
    </row>
    <row r="155" spans="1:3" ht="23.25" x14ac:dyDescent="0.25">
      <c r="A155" s="9">
        <v>143</v>
      </c>
      <c r="B155" s="5" t="s">
        <v>136</v>
      </c>
      <c r="C155" s="20">
        <f>'[1]CADRI X INSTITUTO'!D152*150%</f>
        <v>1380</v>
      </c>
    </row>
    <row r="156" spans="1:3" ht="23.25" x14ac:dyDescent="0.25">
      <c r="A156" s="9">
        <v>144</v>
      </c>
      <c r="B156" s="5" t="s">
        <v>137</v>
      </c>
      <c r="C156" s="20">
        <f>'[1]CADRI X INSTITUTO'!D153*150%</f>
        <v>1380</v>
      </c>
    </row>
    <row r="157" spans="1:3" ht="23.25" x14ac:dyDescent="0.25">
      <c r="A157" s="9">
        <v>145</v>
      </c>
      <c r="B157" s="5" t="s">
        <v>138</v>
      </c>
      <c r="C157" s="20">
        <f>'[1]CADRI X INSTITUTO'!D154*150%</f>
        <v>1380</v>
      </c>
    </row>
    <row r="158" spans="1:3" ht="23.25" x14ac:dyDescent="0.25">
      <c r="A158" s="9">
        <v>146</v>
      </c>
      <c r="B158" s="5" t="s">
        <v>139</v>
      </c>
      <c r="C158" s="20">
        <f>'[1]CADRI X INSTITUTO'!D155*150%</f>
        <v>1380</v>
      </c>
    </row>
    <row r="159" spans="1:3" ht="23.25" x14ac:dyDescent="0.25">
      <c r="A159" s="9">
        <v>147</v>
      </c>
      <c r="B159" s="5" t="s">
        <v>140</v>
      </c>
      <c r="C159" s="20">
        <f>'[1]CADRI X INSTITUTO'!D156*150%</f>
        <v>1380</v>
      </c>
    </row>
    <row r="160" spans="1:3" ht="23.25" x14ac:dyDescent="0.25">
      <c r="A160" s="9">
        <v>148</v>
      </c>
      <c r="B160" s="5" t="s">
        <v>141</v>
      </c>
      <c r="C160" s="20">
        <f>'[1]CADRI X INSTITUTO'!D157*150%</f>
        <v>1380</v>
      </c>
    </row>
    <row r="161" spans="1:3" ht="23.25" x14ac:dyDescent="0.25">
      <c r="A161" s="9">
        <v>149</v>
      </c>
      <c r="B161" s="5" t="s">
        <v>142</v>
      </c>
      <c r="C161" s="20">
        <f>'[1]CADRI X INSTITUTO'!D158*150%</f>
        <v>1380</v>
      </c>
    </row>
    <row r="162" spans="1:3" ht="24" thickBot="1" x14ac:dyDescent="0.3">
      <c r="A162" s="13">
        <v>150</v>
      </c>
      <c r="B162" s="8" t="s">
        <v>143</v>
      </c>
      <c r="C162" s="21">
        <f>'[1]CADRI X INSTITUTO'!D159*150%</f>
        <v>1380</v>
      </c>
    </row>
    <row r="163" spans="1:3" ht="28.5" thickBot="1" x14ac:dyDescent="0.3">
      <c r="A163" s="37" t="s">
        <v>111</v>
      </c>
      <c r="B163" s="38"/>
      <c r="C163" s="39"/>
    </row>
    <row r="164" spans="1:3" ht="23.25" x14ac:dyDescent="0.25">
      <c r="A164" s="9">
        <v>151</v>
      </c>
      <c r="B164" s="4" t="s">
        <v>144</v>
      </c>
      <c r="C164" s="20">
        <f>'[1]CADRI X INSTITUTO'!D160*150%</f>
        <v>1380</v>
      </c>
    </row>
    <row r="165" spans="1:3" ht="24" thickBot="1" x14ac:dyDescent="0.3">
      <c r="A165" s="9">
        <v>152</v>
      </c>
      <c r="B165" s="5" t="s">
        <v>145</v>
      </c>
      <c r="C165" s="20">
        <f>'[1]CADRI X INSTITUTO'!D161*150%</f>
        <v>1500</v>
      </c>
    </row>
    <row r="166" spans="1:3" ht="28.5" thickBot="1" x14ac:dyDescent="0.3">
      <c r="A166" s="37" t="s">
        <v>146</v>
      </c>
      <c r="B166" s="38"/>
      <c r="C166" s="39"/>
    </row>
    <row r="167" spans="1:3" ht="23.25" x14ac:dyDescent="0.25">
      <c r="A167" s="9">
        <v>153</v>
      </c>
      <c r="B167" s="5" t="s">
        <v>147</v>
      </c>
      <c r="C167" s="20" t="s">
        <v>94</v>
      </c>
    </row>
    <row r="168" spans="1:3" ht="23.25" x14ac:dyDescent="0.25">
      <c r="A168" s="9">
        <v>154</v>
      </c>
      <c r="B168" s="5" t="s">
        <v>148</v>
      </c>
      <c r="C168" s="20">
        <f>'[1]CADRI X INSTITUTO'!D163*150%</f>
        <v>1200</v>
      </c>
    </row>
    <row r="169" spans="1:3" ht="23.25" x14ac:dyDescent="0.25">
      <c r="A169" s="9">
        <v>155</v>
      </c>
      <c r="B169" s="5" t="s">
        <v>149</v>
      </c>
      <c r="C169" s="20">
        <f>'[1]CADRI X INSTITUTO'!D164*150%</f>
        <v>1650</v>
      </c>
    </row>
    <row r="170" spans="1:3" ht="23.25" x14ac:dyDescent="0.25">
      <c r="A170" s="9">
        <v>156</v>
      </c>
      <c r="B170" s="5" t="s">
        <v>150</v>
      </c>
      <c r="C170" s="20" t="s">
        <v>94</v>
      </c>
    </row>
    <row r="171" spans="1:3" ht="23.25" x14ac:dyDescent="0.25">
      <c r="A171" s="9">
        <v>157</v>
      </c>
      <c r="B171" s="5" t="s">
        <v>151</v>
      </c>
      <c r="C171" s="20" t="s">
        <v>94</v>
      </c>
    </row>
    <row r="172" spans="1:3" ht="23.25" x14ac:dyDescent="0.25">
      <c r="A172" s="9">
        <v>158</v>
      </c>
      <c r="B172" s="5" t="s">
        <v>152</v>
      </c>
      <c r="C172" s="20" t="s">
        <v>94</v>
      </c>
    </row>
    <row r="173" spans="1:3" ht="23.25" x14ac:dyDescent="0.25">
      <c r="A173" s="9">
        <v>159</v>
      </c>
      <c r="B173" s="5" t="s">
        <v>153</v>
      </c>
      <c r="C173" s="20" t="s">
        <v>94</v>
      </c>
    </row>
    <row r="174" spans="1:3" ht="23.25" x14ac:dyDescent="0.25">
      <c r="A174" s="9">
        <v>160</v>
      </c>
      <c r="B174" s="5" t="s">
        <v>154</v>
      </c>
      <c r="C174" s="20">
        <f>'[1]CADRI X INSTITUTO'!D169*150%</f>
        <v>1200</v>
      </c>
    </row>
    <row r="175" spans="1:3" ht="23.25" x14ac:dyDescent="0.25">
      <c r="A175" s="9">
        <v>161</v>
      </c>
      <c r="B175" s="5" t="s">
        <v>155</v>
      </c>
      <c r="C175" s="20" t="s">
        <v>94</v>
      </c>
    </row>
    <row r="176" spans="1:3" ht="23.25" x14ac:dyDescent="0.25">
      <c r="A176" s="9">
        <v>162</v>
      </c>
      <c r="B176" s="5" t="s">
        <v>156</v>
      </c>
      <c r="C176" s="20" t="s">
        <v>94</v>
      </c>
    </row>
    <row r="177" spans="1:3" ht="23.25" x14ac:dyDescent="0.25">
      <c r="A177" s="9">
        <v>163</v>
      </c>
      <c r="B177" s="5" t="s">
        <v>157</v>
      </c>
      <c r="C177" s="20" t="s">
        <v>94</v>
      </c>
    </row>
    <row r="178" spans="1:3" ht="23.25" x14ac:dyDescent="0.25">
      <c r="A178" s="9">
        <v>164</v>
      </c>
      <c r="B178" s="5" t="s">
        <v>158</v>
      </c>
      <c r="C178" s="20" t="s">
        <v>94</v>
      </c>
    </row>
    <row r="179" spans="1:3" ht="23.25" x14ac:dyDescent="0.25">
      <c r="A179" s="9">
        <v>165</v>
      </c>
      <c r="B179" s="5" t="s">
        <v>159</v>
      </c>
      <c r="C179" s="20">
        <f>'[1]CADRI X INSTITUTO'!D174*150%</f>
        <v>1200</v>
      </c>
    </row>
    <row r="180" spans="1:3" ht="23.25" x14ac:dyDescent="0.25">
      <c r="A180" s="9">
        <v>166</v>
      </c>
      <c r="B180" s="5" t="s">
        <v>160</v>
      </c>
      <c r="C180" s="20">
        <f>'[1]CADRI X INSTITUTO'!D175*150%</f>
        <v>1200</v>
      </c>
    </row>
    <row r="181" spans="1:3" ht="23.25" x14ac:dyDescent="0.25">
      <c r="A181" s="9">
        <v>167</v>
      </c>
      <c r="B181" s="5" t="s">
        <v>161</v>
      </c>
      <c r="C181" s="20" t="s">
        <v>94</v>
      </c>
    </row>
    <row r="182" spans="1:3" ht="23.25" x14ac:dyDescent="0.25">
      <c r="A182" s="9">
        <v>168</v>
      </c>
      <c r="B182" s="5" t="s">
        <v>162</v>
      </c>
      <c r="C182" s="20">
        <f>'[1]CADRI X INSTITUTO'!D177*150%</f>
        <v>1200</v>
      </c>
    </row>
    <row r="183" spans="1:3" ht="23.25" x14ac:dyDescent="0.25">
      <c r="A183" s="9">
        <v>169</v>
      </c>
      <c r="B183" s="5" t="s">
        <v>163</v>
      </c>
      <c r="C183" s="20">
        <f>'[1]CADRI X INSTITUTO'!D178*150%</f>
        <v>1200</v>
      </c>
    </row>
    <row r="184" spans="1:3" ht="23.25" x14ac:dyDescent="0.25">
      <c r="A184" s="9">
        <v>170</v>
      </c>
      <c r="B184" s="5" t="s">
        <v>164</v>
      </c>
      <c r="C184" s="20">
        <f>'[1]CADRI X INSTITUTO'!D179*150%</f>
        <v>1215</v>
      </c>
    </row>
    <row r="185" spans="1:3" ht="23.25" x14ac:dyDescent="0.25">
      <c r="A185" s="9">
        <v>171</v>
      </c>
      <c r="B185" s="5" t="s">
        <v>165</v>
      </c>
      <c r="C185" s="20">
        <f>'[1]CADRI X INSTITUTO'!D180*150%</f>
        <v>3300</v>
      </c>
    </row>
    <row r="186" spans="1:3" ht="23.25" x14ac:dyDescent="0.25">
      <c r="A186" s="9">
        <v>172</v>
      </c>
      <c r="B186" s="5" t="s">
        <v>166</v>
      </c>
      <c r="C186" s="20">
        <f>'[1]CADRI X INSTITUTO'!D181*150%</f>
        <v>1200</v>
      </c>
    </row>
    <row r="187" spans="1:3" ht="23.25" x14ac:dyDescent="0.25">
      <c r="A187" s="9">
        <v>173</v>
      </c>
      <c r="B187" s="5" t="s">
        <v>167</v>
      </c>
      <c r="C187" s="20" t="s">
        <v>94</v>
      </c>
    </row>
    <row r="188" spans="1:3" ht="23.25" x14ac:dyDescent="0.25">
      <c r="A188" s="9">
        <v>174</v>
      </c>
      <c r="B188" s="5" t="s">
        <v>168</v>
      </c>
      <c r="C188" s="20">
        <f>'[1]CADRI X INSTITUTO'!D183*150%</f>
        <v>1200</v>
      </c>
    </row>
    <row r="189" spans="1:3" ht="23.25" x14ac:dyDescent="0.25">
      <c r="A189" s="9">
        <v>175</v>
      </c>
      <c r="B189" s="5" t="s">
        <v>169</v>
      </c>
      <c r="C189" s="20">
        <f>'[1]CADRI X INSTITUTO'!D184*150%</f>
        <v>2250</v>
      </c>
    </row>
    <row r="190" spans="1:3" ht="23.25" x14ac:dyDescent="0.25">
      <c r="A190" s="9">
        <v>176</v>
      </c>
      <c r="B190" s="5" t="s">
        <v>170</v>
      </c>
      <c r="C190" s="20">
        <f>'[1]CADRI X INSTITUTO'!D185*150%</f>
        <v>1200</v>
      </c>
    </row>
    <row r="191" spans="1:3" ht="23.25" x14ac:dyDescent="0.25">
      <c r="A191" s="9">
        <v>177</v>
      </c>
      <c r="B191" s="5" t="s">
        <v>206</v>
      </c>
      <c r="C191" s="20">
        <f>'[1]CADRI X INSTITUTO'!D186*150%</f>
        <v>1200</v>
      </c>
    </row>
    <row r="192" spans="1:3" ht="23.25" x14ac:dyDescent="0.25">
      <c r="A192" s="9">
        <v>178</v>
      </c>
      <c r="B192" s="5" t="s">
        <v>171</v>
      </c>
      <c r="C192" s="20" t="s">
        <v>94</v>
      </c>
    </row>
    <row r="193" spans="1:3" ht="23.25" x14ac:dyDescent="0.25">
      <c r="A193" s="9">
        <v>179</v>
      </c>
      <c r="B193" s="5" t="s">
        <v>172</v>
      </c>
      <c r="C193" s="20">
        <f>'[1]CADRI X INSTITUTO'!D188*150%</f>
        <v>1200</v>
      </c>
    </row>
    <row r="194" spans="1:3" ht="23.25" x14ac:dyDescent="0.25">
      <c r="A194" s="9">
        <v>180</v>
      </c>
      <c r="B194" s="5" t="s">
        <v>173</v>
      </c>
      <c r="C194" s="20">
        <f>'[1]CADRI X INSTITUTO'!D189*150%</f>
        <v>1200</v>
      </c>
    </row>
    <row r="195" spans="1:3" ht="23.25" x14ac:dyDescent="0.25">
      <c r="A195" s="9">
        <v>181</v>
      </c>
      <c r="B195" s="5" t="s">
        <v>174</v>
      </c>
      <c r="C195" s="20">
        <f>'[1]CADRI X INSTITUTO'!D190*150%</f>
        <v>1200</v>
      </c>
    </row>
    <row r="196" spans="1:3" ht="23.25" x14ac:dyDescent="0.25">
      <c r="A196" s="9">
        <v>182</v>
      </c>
      <c r="B196" s="5" t="s">
        <v>175</v>
      </c>
      <c r="C196" s="20">
        <f>'[1]CADRI X INSTITUTO'!D191*150%</f>
        <v>1200</v>
      </c>
    </row>
    <row r="197" spans="1:3" ht="23.25" x14ac:dyDescent="0.25">
      <c r="A197" s="9">
        <v>183</v>
      </c>
      <c r="B197" s="5" t="s">
        <v>176</v>
      </c>
      <c r="C197" s="20">
        <f>'[1]CADRI X INSTITUTO'!D192*150%</f>
        <v>1200</v>
      </c>
    </row>
    <row r="198" spans="1:3" ht="23.25" x14ac:dyDescent="0.25">
      <c r="A198" s="9">
        <v>184</v>
      </c>
      <c r="B198" s="5" t="s">
        <v>177</v>
      </c>
      <c r="C198" s="20">
        <f>'[1]CADRI X INSTITUTO'!D193*150%</f>
        <v>1200</v>
      </c>
    </row>
    <row r="199" spans="1:3" ht="23.25" x14ac:dyDescent="0.25">
      <c r="A199" s="9">
        <v>185</v>
      </c>
      <c r="B199" s="5" t="s">
        <v>178</v>
      </c>
      <c r="C199" s="20">
        <f>'[1]CADRI X INSTITUTO'!D194*150%</f>
        <v>1200</v>
      </c>
    </row>
    <row r="200" spans="1:3" ht="23.25" x14ac:dyDescent="0.25">
      <c r="A200" s="9">
        <v>186</v>
      </c>
      <c r="B200" s="5" t="s">
        <v>179</v>
      </c>
      <c r="C200" s="20">
        <f>'[1]CADRI X INSTITUTO'!D195*150%</f>
        <v>1200</v>
      </c>
    </row>
    <row r="201" spans="1:3" ht="23.25" x14ac:dyDescent="0.25">
      <c r="A201" s="9">
        <v>187</v>
      </c>
      <c r="B201" s="5" t="s">
        <v>180</v>
      </c>
      <c r="C201" s="20">
        <f>'[1]CADRI X INSTITUTO'!D196*150%</f>
        <v>1200</v>
      </c>
    </row>
    <row r="202" spans="1:3" ht="23.25" x14ac:dyDescent="0.25">
      <c r="A202" s="9">
        <v>188</v>
      </c>
      <c r="B202" s="5" t="s">
        <v>181</v>
      </c>
      <c r="C202" s="20">
        <f>'[1]CADRI X INSTITUTO'!D197*150%</f>
        <v>825</v>
      </c>
    </row>
    <row r="203" spans="1:3" ht="23.25" x14ac:dyDescent="0.25">
      <c r="A203" s="9">
        <v>189</v>
      </c>
      <c r="B203" s="5" t="s">
        <v>182</v>
      </c>
      <c r="C203" s="20" t="s">
        <v>94</v>
      </c>
    </row>
    <row r="204" spans="1:3" ht="23.25" x14ac:dyDescent="0.25">
      <c r="A204" s="9">
        <v>190</v>
      </c>
      <c r="B204" s="5" t="s">
        <v>183</v>
      </c>
      <c r="C204" s="20">
        <f>'[1]CADRI X INSTITUTO'!D199*150%</f>
        <v>2250</v>
      </c>
    </row>
    <row r="205" spans="1:3" ht="23.25" x14ac:dyDescent="0.25">
      <c r="A205" s="9">
        <v>191</v>
      </c>
      <c r="B205" s="5" t="s">
        <v>184</v>
      </c>
      <c r="C205" s="20">
        <f>'[1]CADRI X INSTITUTO'!D200*150%</f>
        <v>825</v>
      </c>
    </row>
    <row r="206" spans="1:3" ht="23.25" x14ac:dyDescent="0.25">
      <c r="A206" s="9">
        <v>192</v>
      </c>
      <c r="B206" s="5" t="s">
        <v>185</v>
      </c>
      <c r="C206" s="20" t="s">
        <v>94</v>
      </c>
    </row>
    <row r="207" spans="1:3" ht="23.25" x14ac:dyDescent="0.25">
      <c r="A207" s="9">
        <v>193</v>
      </c>
      <c r="B207" s="5" t="s">
        <v>186</v>
      </c>
      <c r="C207" s="20" t="s">
        <v>94</v>
      </c>
    </row>
    <row r="208" spans="1:3" ht="23.25" x14ac:dyDescent="0.25">
      <c r="A208" s="9">
        <v>194</v>
      </c>
      <c r="B208" s="5" t="s">
        <v>187</v>
      </c>
      <c r="C208" s="20" t="s">
        <v>94</v>
      </c>
    </row>
    <row r="209" spans="1:3" ht="23.25" x14ac:dyDescent="0.25">
      <c r="A209" s="9">
        <v>195</v>
      </c>
      <c r="B209" s="5" t="s">
        <v>188</v>
      </c>
      <c r="C209" s="20">
        <f>'[1]CADRI X INSTITUTO'!D204*150%</f>
        <v>1320</v>
      </c>
    </row>
    <row r="210" spans="1:3" ht="23.25" x14ac:dyDescent="0.25">
      <c r="A210" s="9">
        <v>196</v>
      </c>
      <c r="B210" s="5" t="s">
        <v>189</v>
      </c>
      <c r="C210" s="20">
        <f>'[1]CADRI X INSTITUTO'!D205*150%</f>
        <v>1320</v>
      </c>
    </row>
    <row r="211" spans="1:3" ht="23.25" x14ac:dyDescent="0.25">
      <c r="A211" s="9">
        <v>197</v>
      </c>
      <c r="B211" s="5" t="s">
        <v>190</v>
      </c>
      <c r="C211" s="20">
        <f>'[1]CADRI X INSTITUTO'!D206*150%</f>
        <v>1395</v>
      </c>
    </row>
    <row r="212" spans="1:3" ht="23.25" x14ac:dyDescent="0.25">
      <c r="A212" s="9">
        <v>198</v>
      </c>
      <c r="B212" s="5" t="s">
        <v>191</v>
      </c>
      <c r="C212" s="20">
        <f>'[1]CADRI X INSTITUTO'!D207*150%</f>
        <v>1395</v>
      </c>
    </row>
    <row r="213" spans="1:3" ht="23.25" x14ac:dyDescent="0.25">
      <c r="A213" s="9">
        <v>199</v>
      </c>
      <c r="B213" s="5" t="s">
        <v>192</v>
      </c>
      <c r="C213" s="20">
        <f>'[1]CADRI X INSTITUTO'!D208*150%</f>
        <v>1395</v>
      </c>
    </row>
    <row r="214" spans="1:3" ht="24" thickBot="1" x14ac:dyDescent="0.3">
      <c r="A214" s="13">
        <v>200</v>
      </c>
      <c r="B214" s="8" t="s">
        <v>193</v>
      </c>
      <c r="C214" s="21">
        <f>'[1]CADRI X INSTITUTO'!D209*150%</f>
        <v>1320</v>
      </c>
    </row>
    <row r="215" spans="1:3" ht="28.5" thickBot="1" x14ac:dyDescent="0.3">
      <c r="A215" s="37" t="s">
        <v>146</v>
      </c>
      <c r="B215" s="38"/>
      <c r="C215" s="39"/>
    </row>
    <row r="216" spans="1:3" ht="23.25" x14ac:dyDescent="0.25">
      <c r="A216" s="9">
        <v>201</v>
      </c>
      <c r="B216" s="4" t="s">
        <v>194</v>
      </c>
      <c r="C216" s="20">
        <f>'[1]CADRI X INSTITUTO'!D210*150%</f>
        <v>1320</v>
      </c>
    </row>
    <row r="217" spans="1:3" ht="23.25" x14ac:dyDescent="0.25">
      <c r="A217" s="9">
        <v>202</v>
      </c>
      <c r="B217" s="5" t="s">
        <v>195</v>
      </c>
      <c r="C217" s="20">
        <f>'[1]CADRI X INSTITUTO'!D211*150%</f>
        <v>1320</v>
      </c>
    </row>
    <row r="218" spans="1:3" ht="23.25" x14ac:dyDescent="0.25">
      <c r="A218" s="9">
        <v>203</v>
      </c>
      <c r="B218" s="5" t="s">
        <v>196</v>
      </c>
      <c r="C218" s="20">
        <f>'[1]CADRI X INSTITUTO'!D212*150%</f>
        <v>1320</v>
      </c>
    </row>
    <row r="219" spans="1:3" ht="23.25" x14ac:dyDescent="0.25">
      <c r="A219" s="9">
        <v>204</v>
      </c>
      <c r="B219" s="5" t="s">
        <v>197</v>
      </c>
      <c r="C219" s="20">
        <f>'[1]CADRI X INSTITUTO'!D213*150%</f>
        <v>1320</v>
      </c>
    </row>
    <row r="220" spans="1:3" ht="23.25" x14ac:dyDescent="0.25">
      <c r="A220" s="9">
        <v>205</v>
      </c>
      <c r="B220" s="5" t="s">
        <v>198</v>
      </c>
      <c r="C220" s="20">
        <f>'[1]CADRI X INSTITUTO'!D214*150%</f>
        <v>1320</v>
      </c>
    </row>
    <row r="221" spans="1:3" ht="23.25" x14ac:dyDescent="0.25">
      <c r="A221" s="9">
        <v>206</v>
      </c>
      <c r="B221" s="5" t="s">
        <v>199</v>
      </c>
      <c r="C221" s="20">
        <f>'[1]CADRI X INSTITUTO'!D215*150%</f>
        <v>1320</v>
      </c>
    </row>
    <row r="222" spans="1:3" ht="23.25" x14ac:dyDescent="0.25">
      <c r="A222" s="9">
        <v>207</v>
      </c>
      <c r="B222" s="5" t="s">
        <v>200</v>
      </c>
      <c r="C222" s="20">
        <f>'[1]CADRI X INSTITUTO'!D216*150%</f>
        <v>1320</v>
      </c>
    </row>
    <row r="223" spans="1:3" ht="23.25" x14ac:dyDescent="0.25">
      <c r="A223" s="9">
        <v>208</v>
      </c>
      <c r="B223" s="5" t="s">
        <v>201</v>
      </c>
      <c r="C223" s="20">
        <f>'[1]CADRI X INSTITUTO'!D217*150%</f>
        <v>1320</v>
      </c>
    </row>
    <row r="224" spans="1:3" ht="23.25" x14ac:dyDescent="0.25">
      <c r="A224" s="9">
        <v>209</v>
      </c>
      <c r="B224" s="5" t="s">
        <v>202</v>
      </c>
      <c r="C224" s="20">
        <f>'[1]CADRI X INSTITUTO'!D218*150%</f>
        <v>1320</v>
      </c>
    </row>
    <row r="225" spans="1:3" ht="23.25" x14ac:dyDescent="0.25">
      <c r="A225" s="9">
        <v>210</v>
      </c>
      <c r="B225" s="5" t="s">
        <v>203</v>
      </c>
      <c r="C225" s="20">
        <f>'[1]CADRI X INSTITUTO'!D219*150%</f>
        <v>1395</v>
      </c>
    </row>
    <row r="226" spans="1:3" ht="23.25" x14ac:dyDescent="0.25">
      <c r="A226" s="9">
        <v>211</v>
      </c>
      <c r="B226" s="5" t="s">
        <v>204</v>
      </c>
      <c r="C226" s="20">
        <f>'[1]CADRI X INSTITUTO'!D220*150%</f>
        <v>1395</v>
      </c>
    </row>
    <row r="227" spans="1:3" ht="24" thickBot="1" x14ac:dyDescent="0.3">
      <c r="A227" s="13">
        <v>212</v>
      </c>
      <c r="B227" s="8" t="s">
        <v>205</v>
      </c>
      <c r="C227" s="21">
        <f>'[1]CADRI X INSTITUTO'!D221*150%</f>
        <v>1395</v>
      </c>
    </row>
    <row r="433" spans="1:3" ht="18" x14ac:dyDescent="0.25">
      <c r="A433" s="15"/>
      <c r="B433" s="17"/>
      <c r="C433" s="22"/>
    </row>
  </sheetData>
  <mergeCells count="14">
    <mergeCell ref="A45:C45"/>
    <mergeCell ref="A1:C1"/>
    <mergeCell ref="A2:C2"/>
    <mergeCell ref="A4:C4"/>
    <mergeCell ref="A19:C19"/>
    <mergeCell ref="A30:C30"/>
    <mergeCell ref="A215:C215"/>
    <mergeCell ref="A58:C58"/>
    <mergeCell ref="A64:C64"/>
    <mergeCell ref="A128:C128"/>
    <mergeCell ref="A166:C166"/>
    <mergeCell ref="A99:C99"/>
    <mergeCell ref="A111:C111"/>
    <mergeCell ref="A163:C163"/>
  </mergeCells>
  <conditionalFormatting sqref="A5:C18 A20:C29 A31:C44 A46:C57 A59:C63 A65:C98 A100:C110 A112:C127 A129:C162 A164:C165 A167:C214 A216:C227">
    <cfRule type="expression" dxfId="1" priority="1">
      <formula>MOD(ROW(),2)=0</formula>
    </cfRule>
  </conditionalFormatting>
  <pageMargins left="0.23622047244094491" right="0.23622047244094491" top="0.74803149606299213" bottom="0.74803149606299213" header="0.31496062992125984" footer="0.31496062992125984"/>
  <pageSetup paperSize="9" scale="5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79B8-E891-4C3E-A02C-27DC881E1C74}">
  <sheetPr>
    <pageSetUpPr fitToPage="1"/>
  </sheetPr>
  <dimension ref="A1:C22"/>
  <sheetViews>
    <sheetView topLeftCell="A16" workbookViewId="0">
      <selection activeCell="B32" sqref="B32"/>
    </sheetView>
  </sheetViews>
  <sheetFormatPr defaultRowHeight="15" x14ac:dyDescent="0.25"/>
  <cols>
    <col min="1" max="1" width="9.5703125" bestFit="1" customWidth="1"/>
    <col min="2" max="2" width="108.42578125" style="18" customWidth="1"/>
    <col min="3" max="3" width="33.140625" customWidth="1"/>
  </cols>
  <sheetData>
    <row r="1" spans="1:3" ht="30" customHeight="1" x14ac:dyDescent="0.25">
      <c r="A1" s="52" t="s">
        <v>0</v>
      </c>
      <c r="B1" s="53"/>
      <c r="C1" s="54"/>
    </row>
    <row r="2" spans="1:3" ht="36" thickBot="1" x14ac:dyDescent="0.3">
      <c r="A2" s="55" t="s">
        <v>1</v>
      </c>
      <c r="B2" s="56"/>
      <c r="C2" s="57"/>
    </row>
    <row r="3" spans="1:3" ht="27" thickBot="1" x14ac:dyDescent="0.3">
      <c r="A3" s="11" t="s">
        <v>2</v>
      </c>
      <c r="B3" s="12" t="s">
        <v>3</v>
      </c>
      <c r="C3" s="12" t="s">
        <v>4</v>
      </c>
    </row>
    <row r="4" spans="1:3" ht="28.5" thickBot="1" x14ac:dyDescent="0.3">
      <c r="A4" s="58" t="s">
        <v>207</v>
      </c>
      <c r="B4" s="59"/>
      <c r="C4" s="60"/>
    </row>
    <row r="5" spans="1:3" ht="23.25" x14ac:dyDescent="0.25">
      <c r="A5" s="3">
        <v>1</v>
      </c>
      <c r="B5" s="5" t="s">
        <v>97</v>
      </c>
      <c r="C5" s="19">
        <v>465</v>
      </c>
    </row>
    <row r="6" spans="1:3" ht="23.25" x14ac:dyDescent="0.25">
      <c r="A6" s="3">
        <v>2</v>
      </c>
      <c r="B6" s="5" t="s">
        <v>98</v>
      </c>
      <c r="C6" s="19">
        <v>465</v>
      </c>
    </row>
    <row r="7" spans="1:3" ht="23.25" x14ac:dyDescent="0.25">
      <c r="A7" s="3">
        <v>3</v>
      </c>
      <c r="B7" s="5" t="s">
        <v>106</v>
      </c>
      <c r="C7" s="19">
        <v>510</v>
      </c>
    </row>
    <row r="8" spans="1:3" ht="23.25" x14ac:dyDescent="0.25">
      <c r="A8" s="3">
        <v>4</v>
      </c>
      <c r="B8" s="5" t="s">
        <v>107</v>
      </c>
      <c r="C8" s="19">
        <v>510</v>
      </c>
    </row>
    <row r="9" spans="1:3" ht="23.25" x14ac:dyDescent="0.25">
      <c r="A9" s="3">
        <v>5</v>
      </c>
      <c r="B9" s="4" t="s">
        <v>211</v>
      </c>
      <c r="C9" s="19">
        <v>135</v>
      </c>
    </row>
    <row r="10" spans="1:3" ht="23.25" x14ac:dyDescent="0.25">
      <c r="A10" s="3">
        <v>6</v>
      </c>
      <c r="B10" s="5" t="s">
        <v>60</v>
      </c>
      <c r="C10" s="20">
        <f>'IRPP VENDA'!C59</f>
        <v>135</v>
      </c>
    </row>
    <row r="11" spans="1:3" ht="23.25" x14ac:dyDescent="0.25">
      <c r="A11" s="3">
        <v>7</v>
      </c>
      <c r="B11" s="5" t="s">
        <v>61</v>
      </c>
      <c r="C11" s="20">
        <f>'IRPP VENDA'!C60</f>
        <v>150</v>
      </c>
    </row>
    <row r="12" spans="1:3" ht="23.25" x14ac:dyDescent="0.25">
      <c r="A12" s="3">
        <v>8</v>
      </c>
      <c r="B12" s="5" t="s">
        <v>214</v>
      </c>
      <c r="C12" s="20">
        <v>135</v>
      </c>
    </row>
    <row r="13" spans="1:3" ht="23.25" x14ac:dyDescent="0.25">
      <c r="A13" s="3">
        <v>9</v>
      </c>
      <c r="B13" s="5" t="s">
        <v>62</v>
      </c>
      <c r="C13" s="20">
        <f>'IRPP VENDA'!C61</f>
        <v>195</v>
      </c>
    </row>
    <row r="14" spans="1:3" ht="23.25" x14ac:dyDescent="0.25">
      <c r="A14" s="3">
        <v>10</v>
      </c>
      <c r="B14" s="5" t="s">
        <v>118</v>
      </c>
      <c r="C14" s="19">
        <v>525</v>
      </c>
    </row>
    <row r="15" spans="1:3" ht="23.25" x14ac:dyDescent="0.25">
      <c r="A15" s="3">
        <v>11</v>
      </c>
      <c r="B15" s="5" t="s">
        <v>212</v>
      </c>
      <c r="C15" s="19">
        <v>690</v>
      </c>
    </row>
    <row r="16" spans="1:3" ht="23.25" x14ac:dyDescent="0.25">
      <c r="A16" s="3">
        <v>12</v>
      </c>
      <c r="B16" s="5" t="s">
        <v>208</v>
      </c>
      <c r="C16" s="19">
        <v>855</v>
      </c>
    </row>
    <row r="17" spans="1:3" ht="23.25" x14ac:dyDescent="0.25">
      <c r="A17" s="3">
        <v>13</v>
      </c>
      <c r="B17" s="5" t="s">
        <v>84</v>
      </c>
      <c r="C17" s="20">
        <v>135</v>
      </c>
    </row>
    <row r="18" spans="1:3" ht="23.25" x14ac:dyDescent="0.25">
      <c r="A18" s="3">
        <v>14</v>
      </c>
      <c r="B18" s="5" t="s">
        <v>85</v>
      </c>
      <c r="C18" s="20">
        <v>135</v>
      </c>
    </row>
    <row r="19" spans="1:3" ht="23.25" x14ac:dyDescent="0.25">
      <c r="A19" s="3">
        <v>15</v>
      </c>
      <c r="B19" s="5" t="s">
        <v>209</v>
      </c>
      <c r="C19" s="19">
        <v>250</v>
      </c>
    </row>
    <row r="20" spans="1:3" ht="23.25" x14ac:dyDescent="0.25">
      <c r="A20" s="3">
        <v>16</v>
      </c>
      <c r="B20" s="5" t="s">
        <v>210</v>
      </c>
      <c r="C20" s="19">
        <v>135</v>
      </c>
    </row>
    <row r="21" spans="1:3" ht="23.25" x14ac:dyDescent="0.25">
      <c r="A21" s="3">
        <v>17</v>
      </c>
      <c r="B21" s="5" t="s">
        <v>86</v>
      </c>
      <c r="C21" s="19">
        <v>135</v>
      </c>
    </row>
    <row r="22" spans="1:3" ht="24" thickBot="1" x14ac:dyDescent="0.3">
      <c r="A22" s="7">
        <v>18</v>
      </c>
      <c r="B22" s="8" t="s">
        <v>81</v>
      </c>
      <c r="C22" s="21">
        <f>'IRPP VENDA'!C80</f>
        <v>285</v>
      </c>
    </row>
  </sheetData>
  <sortState xmlns:xlrd2="http://schemas.microsoft.com/office/spreadsheetml/2017/richdata2" ref="A5:C22">
    <sortCondition ref="B5:B22"/>
  </sortState>
  <mergeCells count="3">
    <mergeCell ref="A1:C1"/>
    <mergeCell ref="A2:C2"/>
    <mergeCell ref="A4:C4"/>
  </mergeCells>
  <conditionalFormatting sqref="A5:C22">
    <cfRule type="expression" dxfId="0" priority="1">
      <formula>MOD(ROW(),2)=0</formula>
    </cfRule>
  </conditionalFormatting>
  <pageMargins left="0.25" right="0.25" top="0.75" bottom="0.75" header="0.3" footer="0.3"/>
  <pageSetup paperSize="9" scale="9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IRPP VENDA</vt:lpstr>
      <vt:lpstr>IRPP MAIS USADOS</vt:lpstr>
      <vt:lpstr>'IRPP VENDA'!Area_de_impressao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2026-03-25T19:33:12Z</cp:lastPrinted>
  <dcterms:created xsi:type="dcterms:W3CDTF">2026-03-25T16:57:07Z</dcterms:created>
  <dcterms:modified xsi:type="dcterms:W3CDTF">2026-03-25T20:22:51Z</dcterms:modified>
</cp:coreProperties>
</file>